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/>
  </bookViews>
  <sheets>
    <sheet name="Refinery Q3" sheetId="11" r:id="rId1"/>
    <sheet name="Propulsion Factory Q3" sheetId="6" r:id="rId2"/>
    <sheet name="Aerospace Factory Q3" sheetId="9" r:id="rId3"/>
    <sheet name="Aerospace Electronics Q3" sheetId="10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3" i="11" l="1"/>
  <c r="F23" i="11"/>
  <c r="E23" i="11"/>
  <c r="D23" i="11"/>
  <c r="C23" i="11"/>
  <c r="B23" i="11"/>
  <c r="G22" i="11"/>
  <c r="F22" i="11"/>
  <c r="C22" i="11"/>
  <c r="B22" i="11"/>
  <c r="G21" i="11"/>
  <c r="F21" i="11"/>
  <c r="E21" i="11"/>
  <c r="E22" i="11" s="1"/>
  <c r="D21" i="11"/>
  <c r="D22" i="11" s="1"/>
  <c r="C21" i="11"/>
  <c r="B21" i="11"/>
  <c r="E21" i="10"/>
  <c r="D21" i="10"/>
  <c r="D22" i="10" s="1"/>
  <c r="C21" i="10"/>
  <c r="C22" i="10" s="1"/>
  <c r="B21" i="10"/>
  <c r="B22" i="10" s="1"/>
  <c r="E23" i="10"/>
  <c r="D23" i="10"/>
  <c r="C23" i="10"/>
  <c r="B23" i="10"/>
  <c r="E22" i="10"/>
  <c r="E21" i="9"/>
  <c r="E22" i="9" s="1"/>
  <c r="D21" i="9"/>
  <c r="D22" i="9" s="1"/>
  <c r="C21" i="9"/>
  <c r="C22" i="9" s="1"/>
  <c r="B21" i="9"/>
  <c r="B22" i="9" s="1"/>
  <c r="E23" i="9"/>
  <c r="D23" i="9"/>
  <c r="C23" i="9"/>
  <c r="B23" i="9"/>
  <c r="E27" i="11"/>
  <c r="D27" i="11"/>
  <c r="G29" i="11"/>
  <c r="E28" i="11"/>
  <c r="C27" i="11"/>
  <c r="F29" i="11"/>
  <c r="D28" i="11"/>
  <c r="B27" i="11"/>
  <c r="G30" i="11"/>
  <c r="E29" i="11"/>
  <c r="C28" i="11"/>
  <c r="E30" i="11"/>
  <c r="G27" i="11"/>
  <c r="G28" i="11" s="1"/>
  <c r="F30" i="11"/>
  <c r="D29" i="11"/>
  <c r="D30" i="11" s="1"/>
  <c r="B28" i="11"/>
  <c r="C29" i="11"/>
  <c r="C30" i="11" s="1"/>
  <c r="B29" i="11"/>
  <c r="B30" i="11" s="1"/>
  <c r="F27" i="11"/>
  <c r="F28" i="11" s="1"/>
  <c r="B29" i="10"/>
  <c r="B27" i="10"/>
  <c r="B30" i="10"/>
  <c r="E29" i="10"/>
  <c r="E30" i="10" s="1"/>
  <c r="E27" i="10"/>
  <c r="E28" i="10" s="1"/>
  <c r="D29" i="10"/>
  <c r="C27" i="10"/>
  <c r="C28" i="10" s="1"/>
  <c r="D30" i="10"/>
  <c r="B28" i="10"/>
  <c r="D27" i="10"/>
  <c r="D28" i="10" s="1"/>
  <c r="C29" i="10"/>
  <c r="C30" i="10" s="1"/>
  <c r="D29" i="9"/>
  <c r="C29" i="9"/>
  <c r="C27" i="9"/>
  <c r="D27" i="9"/>
  <c r="E29" i="9"/>
  <c r="E30" i="9"/>
  <c r="D30" i="9"/>
  <c r="B29" i="9"/>
  <c r="C30" i="9"/>
  <c r="E27" i="9"/>
  <c r="B30" i="9"/>
  <c r="E28" i="9"/>
  <c r="C28" i="9"/>
  <c r="D28" i="9"/>
  <c r="B27" i="9"/>
  <c r="B28" i="9" s="1"/>
  <c r="B31" i="11" l="1"/>
  <c r="C31" i="11"/>
  <c r="D31" i="11"/>
  <c r="F31" i="11"/>
  <c r="E31" i="11"/>
  <c r="G31" i="11"/>
  <c r="C31" i="10"/>
  <c r="D31" i="10"/>
  <c r="E31" i="10"/>
  <c r="B31" i="10"/>
  <c r="B31" i="9"/>
  <c r="E31" i="9"/>
  <c r="G21" i="6" l="1"/>
  <c r="G22" i="6" s="1"/>
  <c r="F21" i="6"/>
  <c r="F22" i="6" s="1"/>
  <c r="E21" i="6"/>
  <c r="E22" i="6" s="1"/>
  <c r="D21" i="6"/>
  <c r="D22" i="6" s="1"/>
  <c r="C21" i="6"/>
  <c r="C22" i="6" s="1"/>
  <c r="B21" i="6"/>
  <c r="B22" i="6" s="1"/>
  <c r="C23" i="6"/>
  <c r="D23" i="6"/>
  <c r="E23" i="6"/>
  <c r="F23" i="6"/>
  <c r="G23" i="6"/>
  <c r="B23" i="6"/>
  <c r="E27" i="6"/>
  <c r="F27" i="6"/>
  <c r="F29" i="6"/>
  <c r="G27" i="6"/>
  <c r="G29" i="6"/>
  <c r="G30" i="6" s="1"/>
  <c r="E29" i="6"/>
  <c r="B29" i="6"/>
  <c r="B27" i="6"/>
  <c r="B28" i="6"/>
  <c r="B30" i="6"/>
  <c r="B31" i="6" l="1"/>
  <c r="D29" i="6"/>
  <c r="D27" i="6"/>
  <c r="C29" i="6"/>
  <c r="C27" i="6"/>
  <c r="C28" i="6" s="1"/>
  <c r="D28" i="6"/>
  <c r="D30" i="6"/>
  <c r="C30" i="6"/>
  <c r="E28" i="6"/>
  <c r="E30" i="6"/>
  <c r="F28" i="6"/>
  <c r="F30" i="6"/>
  <c r="G28" i="6"/>
  <c r="G31" i="6" l="1"/>
  <c r="F31" i="6"/>
  <c r="E31" i="6"/>
  <c r="C31" i="6"/>
  <c r="D31" i="6"/>
</calcChain>
</file>

<file path=xl/sharedStrings.xml><?xml version="1.0" encoding="utf-8"?>
<sst xmlns="http://schemas.openxmlformats.org/spreadsheetml/2006/main" count="149" uniqueCount="55">
  <si>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</si>
  <si>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</si>
  <si>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</si>
  <si>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</si>
  <si>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</si>
  <si>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</si>
  <si>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</si>
  <si>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Steel</t>
  </si>
  <si>
    <t>HGEC</t>
  </si>
  <si>
    <t>Name</t>
  </si>
  <si>
    <t>Price</t>
  </si>
  <si>
    <t>(In_T) Total Input Resources</t>
  </si>
  <si>
    <t>(Pb) Productivity bonus</t>
  </si>
  <si>
    <t>(Sk) Executives Management Skills</t>
  </si>
  <si>
    <t>COLOR CODES</t>
  </si>
  <si>
    <t>Partial results</t>
  </si>
  <si>
    <t>Final results</t>
  </si>
  <si>
    <t>Change constantly (manually)</t>
  </si>
  <si>
    <t xml:space="preserve">Change rarely (manually) </t>
  </si>
  <si>
    <t>Chemicals</t>
  </si>
  <si>
    <t>Batteries</t>
  </si>
  <si>
    <t>Aluminium</t>
  </si>
  <si>
    <t>(Sp) Selling price, of the final product</t>
  </si>
  <si>
    <t>(Fw) Factory wages</t>
  </si>
  <si>
    <t>Electric motor</t>
  </si>
  <si>
    <t>Combustion engine</t>
  </si>
  <si>
    <t>Solid Fuel booster</t>
  </si>
  <si>
    <t>Rocket engine</t>
  </si>
  <si>
    <t>Ion drive</t>
  </si>
  <si>
    <t>Jet engine</t>
  </si>
  <si>
    <t>Electronic components</t>
  </si>
  <si>
    <t>Rocket Fuel</t>
  </si>
  <si>
    <t>Fuselage</t>
  </si>
  <si>
    <t>Wing</t>
  </si>
  <si>
    <t>Propellant tank</t>
  </si>
  <si>
    <t>Heat shield</t>
  </si>
  <si>
    <t>Sub-Orbital 2nd stage</t>
  </si>
  <si>
    <t>Orbital Booster</t>
  </si>
  <si>
    <t>Starship</t>
  </si>
  <si>
    <t>Carbon Composite</t>
  </si>
  <si>
    <t>Silicon</t>
  </si>
  <si>
    <t>Flight computer</t>
  </si>
  <si>
    <t>cockpit</t>
  </si>
  <si>
    <t>Attitude control</t>
  </si>
  <si>
    <t>Quadcopter</t>
  </si>
  <si>
    <t>Satellite</t>
  </si>
  <si>
    <t>On-board computer</t>
  </si>
  <si>
    <t>Displays</t>
  </si>
  <si>
    <t>Basic interior</t>
  </si>
  <si>
    <t>Plastic</t>
  </si>
  <si>
    <t>Optimal building level with no robots</t>
  </si>
  <si>
    <t>Profit with no robots</t>
  </si>
  <si>
    <t>Optimal building level with  robots</t>
  </si>
  <si>
    <t>Profit with robots</t>
  </si>
  <si>
    <t>Robot performance improvement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</si>
</sst>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7" formatCode="0.0"/>
    <numFmt numFmtId="170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44" fontId="0" fillId="2" borderId="4" xfId="1" applyFont="1" applyFill="1" applyBorder="1"/>
    <xf numFmtId="44" fontId="0" fillId="2" borderId="6" xfId="1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5" xfId="0" applyFill="1" applyBorder="1"/>
    <xf numFmtId="44" fontId="0" fillId="2" borderId="2" xfId="1" applyFont="1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3" borderId="8" xfId="0" applyFill="1" applyBorder="1"/>
    <xf numFmtId="44" fontId="0" fillId="3" borderId="8" xfId="1" applyFont="1" applyFill="1" applyBorder="1"/>
    <xf numFmtId="44" fontId="0" fillId="4" borderId="7" xfId="1" applyFont="1" applyFill="1" applyBorder="1"/>
    <xf numFmtId="44" fontId="0" fillId="4" borderId="9" xfId="1" applyFont="1" applyFill="1" applyBorder="1"/>
    <xf numFmtId="44" fontId="0" fillId="2" borderId="10" xfId="1" applyFont="1" applyFill="1" applyBorder="1"/>
    <xf numFmtId="10" fontId="0" fillId="3" borderId="10" xfId="0" applyNumberFormat="1" applyFill="1" applyBorder="1" applyAlignment="1">
      <alignment horizontal="center"/>
    </xf>
    <xf numFmtId="0" fontId="0" fillId="3" borderId="7" xfId="0" applyFill="1" applyBorder="1"/>
    <xf numFmtId="0" fontId="0" fillId="0" borderId="0" xfId="0" applyFont="1"/>
    <xf numFmtId="10" fontId="0" fillId="3" borderId="7" xfId="0" applyNumberFormat="1" applyFill="1" applyBorder="1" applyAlignment="1">
      <alignment horizontal="center"/>
    </xf>
    <xf numFmtId="167" fontId="0" fillId="0" borderId="15" xfId="0" applyNumberFormat="1" applyBorder="1"/>
    <xf numFmtId="167" fontId="0" fillId="0" borderId="2" xfId="0" applyNumberFormat="1" applyBorder="1"/>
    <xf numFmtId="44" fontId="0" fillId="0" borderId="14" xfId="1" applyFont="1" applyBorder="1"/>
    <xf numFmtId="44" fontId="0" fillId="0" borderId="6" xfId="1" applyFont="1" applyBorder="1"/>
    <xf numFmtId="167" fontId="2" fillId="0" borderId="15" xfId="0" applyNumberFormat="1" applyFont="1" applyBorder="1"/>
    <xf numFmtId="167" fontId="2" fillId="0" borderId="2" xfId="0" applyNumberFormat="1" applyFont="1" applyBorder="1"/>
    <xf numFmtId="44" fontId="2" fillId="0" borderId="14" xfId="1" applyFont="1" applyBorder="1"/>
    <xf numFmtId="44" fontId="2" fillId="0" borderId="6" xfId="1" applyFont="1" applyBorder="1"/>
    <xf numFmtId="0" fontId="0" fillId="0" borderId="11" xfId="0" applyBorder="1"/>
    <xf numFmtId="170" fontId="2" fillId="5" borderId="12" xfId="2" applyNumberFormat="1" applyFont="1" applyFill="1" applyBorder="1"/>
    <xf numFmtId="170" fontId="2" fillId="5" borderId="13" xfId="2" applyNumberFormat="1" applyFont="1" applyFill="1" applyBorder="1"/>
    <xf numFmtId="167" fontId="0" fillId="0" borderId="1" xfId="0" applyNumberFormat="1" applyBorder="1"/>
    <xf numFmtId="44" fontId="0" fillId="0" borderId="5" xfId="1" applyFont="1" applyBorder="1"/>
    <xf numFmtId="167" fontId="2" fillId="0" borderId="1" xfId="0" applyNumberFormat="1" applyFont="1" applyBorder="1"/>
    <xf numFmtId="44" fontId="2" fillId="0" borderId="5" xfId="1" applyFont="1" applyBorder="1"/>
    <xf numFmtId="170" fontId="2" fillId="5" borderId="11" xfId="2" applyNumberFormat="1" applyFont="1" applyFill="1" applyBorder="1"/>
    <xf numFmtId="0" fontId="0" fillId="0" borderId="10" xfId="0" applyBorder="1"/>
    <xf numFmtId="167" fontId="2" fillId="0" borderId="3" xfId="0" applyNumberFormat="1" applyFont="1" applyBorder="1"/>
    <xf numFmtId="167" fontId="2" fillId="0" borderId="0" xfId="0" applyNumberFormat="1" applyFont="1" applyBorder="1"/>
    <xf numFmtId="167" fontId="2" fillId="0" borderId="4" xfId="0" applyNumberFormat="1" applyFont="1" applyBorder="1"/>
    <xf numFmtId="44" fontId="2" fillId="0" borderId="3" xfId="1" applyFont="1" applyBorder="1"/>
    <xf numFmtId="44" fontId="2" fillId="0" borderId="0" xfId="1" applyFont="1" applyBorder="1"/>
    <xf numFmtId="44" fontId="2" fillId="0" borderId="4" xfId="1" applyFont="1" applyBorder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179917</xdr:colOff>
      <xdr:row>28</xdr:row>
      <xdr:rowOff>10582</xdr:rowOff>
    </xdr:from>
    <xdr:to>
      <xdr:col>13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211667</xdr:colOff>
      <xdr:row>25</xdr:row>
      <xdr:rowOff>84667</xdr:rowOff>
    </xdr:from>
    <xdr:to>
      <xdr:col>9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179917</xdr:colOff>
      <xdr:row>28</xdr:row>
      <xdr:rowOff>10582</xdr:rowOff>
    </xdr:from>
    <xdr:to>
      <xdr:col>13</xdr:col>
      <xdr:colOff>357179</xdr:colOff>
      <xdr:row>30</xdr:row>
      <xdr:rowOff>115296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4917" y="4773082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211667</xdr:colOff>
      <xdr:row>25</xdr:row>
      <xdr:rowOff>84667</xdr:rowOff>
    </xdr:from>
    <xdr:to>
      <xdr:col>9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6667" y="4254500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179917</xdr:colOff>
      <xdr:row>28</xdr:row>
      <xdr:rowOff>10582</xdr:rowOff>
    </xdr:from>
    <xdr:to>
      <xdr:col>12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67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8</xdr:col>
      <xdr:colOff>211667</xdr:colOff>
      <xdr:row>25</xdr:row>
      <xdr:rowOff>84667</xdr:rowOff>
    </xdr:from>
    <xdr:to>
      <xdr:col>8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8517" y="4828117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K34"/>
  <sheetViews>
    <sheetView tabSelected="1" zoomScale="90" zoomScaleNormal="90" workbookViewId="0">
      <selection activeCell="G15" sqref="G15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4" width="17.140625" bestFit="1" customWidth="1"/>
    <col min="5" max="6" width="16" bestFit="1" customWidth="1"/>
    <col min="7" max="7" width="17.140625" bestFit="1" customWidth="1"/>
    <col min="10" max="10" width="27.5703125" bestFit="1" customWidth="1"/>
  </cols>
  <sheetData>
    <row r="2" spans="1:11" x14ac:dyDescent="0.25">
      <c r="A2" s="8" t="s">
        <v>5</v>
      </c>
      <c r="B2" s="12" t="s">
        <v>6</v>
      </c>
      <c r="J2" s="19" t="s">
        <v>14</v>
      </c>
    </row>
    <row r="3" spans="1:11" x14ac:dyDescent="0.25">
      <c r="A3" s="10" t="s">
        <v>9</v>
      </c>
      <c r="B3" s="11" t="s">
        <v>10</v>
      </c>
      <c r="J3" s="16" t="s">
        <v>17</v>
      </c>
      <c r="K3" s="16"/>
    </row>
    <row r="4" spans="1:11" x14ac:dyDescent="0.25">
      <c r="A4" s="1" t="s">
        <v>7</v>
      </c>
      <c r="B4" s="14">
        <v>11.3</v>
      </c>
      <c r="J4" s="17" t="s">
        <v>18</v>
      </c>
      <c r="K4" s="17"/>
    </row>
    <row r="5" spans="1:11" x14ac:dyDescent="0.25">
      <c r="A5" s="2" t="s">
        <v>8</v>
      </c>
      <c r="B5" s="3">
        <v>905</v>
      </c>
      <c r="J5" s="18" t="s">
        <v>15</v>
      </c>
      <c r="K5" s="18"/>
    </row>
    <row r="6" spans="1:11" x14ac:dyDescent="0.25">
      <c r="A6" s="2" t="s">
        <v>21</v>
      </c>
      <c r="B6" s="3">
        <v>19.899999999999999</v>
      </c>
      <c r="J6" s="15" t="s">
        <v>16</v>
      </c>
      <c r="K6" s="15"/>
    </row>
    <row r="7" spans="1:11" x14ac:dyDescent="0.25">
      <c r="A7" s="2" t="s">
        <v>30</v>
      </c>
      <c r="B7" s="3">
        <v>57.5</v>
      </c>
    </row>
    <row r="8" spans="1:11" x14ac:dyDescent="0.25">
      <c r="A8" s="2" t="s">
        <v>19</v>
      </c>
      <c r="B8" s="3">
        <v>15.4</v>
      </c>
    </row>
    <row r="9" spans="1:11" x14ac:dyDescent="0.25">
      <c r="A9" s="2" t="s">
        <v>31</v>
      </c>
      <c r="B9" s="3">
        <v>34.75</v>
      </c>
    </row>
    <row r="10" spans="1:11" x14ac:dyDescent="0.25">
      <c r="A10" s="2" t="s">
        <v>20</v>
      </c>
      <c r="B10" s="3">
        <v>89</v>
      </c>
    </row>
    <row r="11" spans="1:11" x14ac:dyDescent="0.25">
      <c r="A11" s="2"/>
      <c r="B11" s="3"/>
    </row>
    <row r="12" spans="1:11" x14ac:dyDescent="0.25">
      <c r="A12" s="2"/>
      <c r="B12" s="3"/>
    </row>
    <row r="13" spans="1:11" x14ac:dyDescent="0.25">
      <c r="A13" s="2"/>
      <c r="B13" s="3"/>
    </row>
    <row r="14" spans="1:11" x14ac:dyDescent="0.25">
      <c r="A14" s="13"/>
      <c r="B14" s="4"/>
    </row>
    <row r="17" spans="1:7" x14ac:dyDescent="0.25">
      <c r="A17" t="s">
        <v>0</v>
      </c>
    </row>
    <row r="18" spans="1:7" x14ac:dyDescent="0.25">
      <c r="A18" s="5" t="s">
        <v>1</v>
      </c>
      <c r="B18" s="26" t="s">
        <v>24</v>
      </c>
      <c r="C18" s="26" t="s">
        <v>25</v>
      </c>
      <c r="D18" s="26" t="s">
        <v>26</v>
      </c>
      <c r="E18" s="26" t="s">
        <v>27</v>
      </c>
      <c r="F18" s="26" t="s">
        <v>28</v>
      </c>
      <c r="G18" s="26" t="s">
        <v>29</v>
      </c>
    </row>
    <row r="19" spans="1:7" x14ac:dyDescent="0.25">
      <c r="A19" s="6" t="s">
        <v>2</v>
      </c>
      <c r="B19" s="20">
        <v>30.78</v>
      </c>
      <c r="C19" s="20">
        <v>5.6</v>
      </c>
      <c r="D19" s="20">
        <v>0.28000000000000003</v>
      </c>
      <c r="E19" s="20">
        <v>0.28000000000000003</v>
      </c>
      <c r="F19" s="20">
        <v>0.56000000000000005</v>
      </c>
      <c r="G19" s="20">
        <v>0.84</v>
      </c>
    </row>
    <row r="20" spans="1:7" x14ac:dyDescent="0.25">
      <c r="A20" s="6" t="s">
        <v>23</v>
      </c>
      <c r="B20" s="21">
        <v>621</v>
      </c>
      <c r="C20" s="21">
        <v>621</v>
      </c>
      <c r="D20" s="21">
        <v>621</v>
      </c>
      <c r="E20" s="21">
        <v>621</v>
      </c>
      <c r="F20" s="21">
        <v>621</v>
      </c>
      <c r="G20" s="21">
        <v>621</v>
      </c>
    </row>
    <row r="21" spans="1:7" x14ac:dyDescent="0.25">
      <c r="A21" s="6" t="s">
        <v>4</v>
      </c>
      <c r="B21" s="21">
        <f>2*B4+3*B7</f>
        <v>195.1</v>
      </c>
      <c r="C21" s="21">
        <f>6*B4+5*B8+5*B7</f>
        <v>432.3</v>
      </c>
      <c r="D21" s="21">
        <f>30*B6+100*B9+50*B8</f>
        <v>4842</v>
      </c>
      <c r="E21" s="21">
        <f>20*B4+8*B5+10*B6</f>
        <v>7665</v>
      </c>
      <c r="F21" s="21">
        <f>8*B5+30*B10+15*B8</f>
        <v>10141</v>
      </c>
      <c r="G21" s="21">
        <f>4*B5+5*B6</f>
        <v>3719.5</v>
      </c>
    </row>
    <row r="22" spans="1:7" ht="14.25" customHeight="1" x14ac:dyDescent="0.25">
      <c r="A22" s="5" t="s">
        <v>11</v>
      </c>
      <c r="B22" s="22">
        <f>B21</f>
        <v>195.1</v>
      </c>
      <c r="C22" s="22">
        <f t="shared" ref="C22:G22" si="0">C21</f>
        <v>432.3</v>
      </c>
      <c r="D22" s="22">
        <f t="shared" si="0"/>
        <v>4842</v>
      </c>
      <c r="E22" s="22">
        <f t="shared" si="0"/>
        <v>7665</v>
      </c>
      <c r="F22" s="22">
        <f t="shared" si="0"/>
        <v>10141</v>
      </c>
      <c r="G22" s="22">
        <f t="shared" si="0"/>
        <v>3719.5</v>
      </c>
    </row>
    <row r="23" spans="1:7" ht="14.25" customHeight="1" x14ac:dyDescent="0.25">
      <c r="A23" s="7" t="s">
        <v>3</v>
      </c>
      <c r="B23" s="23">
        <f>B20/B19</f>
        <v>20.175438596491226</v>
      </c>
      <c r="C23" s="23">
        <f t="shared" ref="C23:G23" si="1">C20/C19</f>
        <v>110.89285714285715</v>
      </c>
      <c r="D23" s="23">
        <f t="shared" si="1"/>
        <v>2217.8571428571427</v>
      </c>
      <c r="E23" s="23">
        <f t="shared" si="1"/>
        <v>2217.8571428571427</v>
      </c>
      <c r="F23" s="23">
        <f t="shared" si="1"/>
        <v>1108.9285714285713</v>
      </c>
      <c r="G23" s="23">
        <f t="shared" si="1"/>
        <v>739.28571428571433</v>
      </c>
    </row>
    <row r="24" spans="1:7" x14ac:dyDescent="0.25">
      <c r="A24" s="10" t="s">
        <v>22</v>
      </c>
      <c r="B24" s="24">
        <v>232</v>
      </c>
      <c r="C24" s="24">
        <v>620</v>
      </c>
      <c r="D24" s="24">
        <v>9580</v>
      </c>
      <c r="E24" s="24">
        <v>11450</v>
      </c>
      <c r="F24" s="24">
        <v>11700</v>
      </c>
      <c r="G24" s="24">
        <v>5150</v>
      </c>
    </row>
    <row r="25" spans="1:7" x14ac:dyDescent="0.25">
      <c r="A25" s="10" t="s">
        <v>12</v>
      </c>
      <c r="B25" s="25">
        <v>0.05</v>
      </c>
      <c r="C25" s="25"/>
      <c r="D25" s="25"/>
      <c r="E25" s="25"/>
      <c r="F25" s="25"/>
      <c r="G25" s="25"/>
    </row>
    <row r="26" spans="1:7" x14ac:dyDescent="0.25">
      <c r="A26" s="10" t="s">
        <v>13</v>
      </c>
      <c r="B26" s="28">
        <v>0.25</v>
      </c>
      <c r="C26" s="28"/>
      <c r="D26" s="28"/>
      <c r="E26" s="28"/>
      <c r="F26" s="28"/>
      <c r="G26" s="28"/>
    </row>
    <row r="27" spans="1:7" x14ac:dyDescent="0.25">
      <c r="A27" s="5" t="s">
        <v>50</v>
      </c>
      <c r="B27" s="29">
        <f>OBL(B24,B22,B23,B19,$B$25,$B$26,0)</f>
        <v>104.85838842474311</v>
      </c>
      <c r="C27" s="29">
        <f>OBL(C24,C22,C23,C19,$B$25,$B$26,0)</f>
        <v>88.593757596332907</v>
      </c>
      <c r="D27" s="29">
        <f>OBL(D24,D22,D23,D19,$B$25,$B$26,0)</f>
        <v>141.52307185133714</v>
      </c>
      <c r="E27" s="29">
        <f>OBL(E24,E22,E23,E19,$B$25,$B$26,0)</f>
        <v>90.261325515121229</v>
      </c>
      <c r="F27" s="29">
        <f>OBL(F24,F22,F23,F19,$B$25,$B$26,0)</f>
        <v>54.383474504683207</v>
      </c>
      <c r="G27" s="30">
        <f>OBL(G24,G22,G23,G19,$B$25,$B$26,0)</f>
        <v>117.50589479035037</v>
      </c>
    </row>
    <row r="28" spans="1:7" ht="16.5" customHeight="1" x14ac:dyDescent="0.25">
      <c r="A28" s="7" t="s">
        <v>51</v>
      </c>
      <c r="B28" s="31">
        <f>Profit(B27,B24,B22,B23,B19,$B$25,$B$26,0)*24</f>
        <v>722970.72270103043</v>
      </c>
      <c r="C28" s="31">
        <f>Profit(C27,C24,C22,C23,C19,$B$25,$B$26,0)*24</f>
        <v>516085.42725883081</v>
      </c>
      <c r="D28" s="31">
        <f>Profit(D27,D24,D22,D23,D19,$B$25,$B$26,0)*24</f>
        <v>1316951.158932942</v>
      </c>
      <c r="E28" s="31">
        <f>Profit(E27,E24,E22,E23,E19,$B$25,$B$26,0)*24</f>
        <v>535696.22933379561</v>
      </c>
      <c r="F28" s="31">
        <f>Profit(F27,F24,F22,F23,F19,$B$25,$B$26,0)*24</f>
        <v>194468.4248956037</v>
      </c>
      <c r="G28" s="32">
        <f>Profit(G27,G24,G22,G23,G19,$B$25,$B$26,0)*24</f>
        <v>907892.61481238902</v>
      </c>
    </row>
    <row r="29" spans="1:7" x14ac:dyDescent="0.25">
      <c r="A29" s="5" t="s">
        <v>52</v>
      </c>
      <c r="B29" s="33">
        <f>OBL(B24,B22,B23,B19,$B$25,$B$26,1)</f>
        <v>111.60658600488981</v>
      </c>
      <c r="C29" s="33">
        <f>OBL(C24,C22,C23,C19,$B$25,$B$26,1)</f>
        <v>94.838925357044232</v>
      </c>
      <c r="D29" s="33">
        <f>OBL(D24,D22,D23,D19,$B$25,$B$26,1)</f>
        <v>149.4052287127187</v>
      </c>
      <c r="E29" s="33">
        <f>OBL(E24,E22,E23,E19,$B$25,$B$26,1)</f>
        <v>96.558067541362092</v>
      </c>
      <c r="F29" s="33">
        <f>OBL(F24,F22,F23,F19,$B$25,$B$26,1)</f>
        <v>59.570592272869284</v>
      </c>
      <c r="G29" s="34">
        <f>OBL(G24,G22,G23,G19,$B$25,$B$26,1)</f>
        <v>124.64525236118594</v>
      </c>
    </row>
    <row r="30" spans="1:7" x14ac:dyDescent="0.25">
      <c r="A30" s="7" t="s">
        <v>53</v>
      </c>
      <c r="B30" s="35">
        <f>Profit(B29,B24,B22,B23,B19,$B$25,$B$26,1)*24</f>
        <v>794448.47235847265</v>
      </c>
      <c r="C30" s="35">
        <f>Profit(C29,C24,C22,C23,C19,$B$25,$B$26,1)*24</f>
        <v>573667.6162454274</v>
      </c>
      <c r="D30" s="35">
        <f>Profit(D29,D24,D22,D23,D19,$B$25,$B$26,1)*24</f>
        <v>1423700.0593625407</v>
      </c>
      <c r="E30" s="35">
        <f>Profit(E29,E24,E22,E23,E19,$B$25,$B$26,1)*24</f>
        <v>594653.583921207</v>
      </c>
      <c r="F30" s="35">
        <f>Profit(F29,F24,F22,F23,F19,$B$25,$B$26,1)*24</f>
        <v>226334.50377548381</v>
      </c>
      <c r="G30" s="36">
        <f>Profit(G29,G24,G22,G23,G19,$B$25,$B$26,1)*24</f>
        <v>990919.53965063044</v>
      </c>
    </row>
    <row r="31" spans="1:7" x14ac:dyDescent="0.25">
      <c r="A31" s="45" t="s">
        <v>54</v>
      </c>
      <c r="B31" s="38">
        <f>B30/B28-1</f>
        <v>9.8866727812158439E-2</v>
      </c>
      <c r="C31" s="38">
        <f t="shared" ref="C31:G31" si="2">C30/C28-1</f>
        <v>0.11157491753340598</v>
      </c>
      <c r="D31" s="38">
        <f t="shared" si="2"/>
        <v>8.1057600128536134E-2</v>
      </c>
      <c r="E31" s="38">
        <f t="shared" si="2"/>
        <v>0.11005743807592627</v>
      </c>
      <c r="F31" s="38">
        <f t="shared" si="2"/>
        <v>0.16386248254433466</v>
      </c>
      <c r="G31" s="39">
        <f t="shared" si="2"/>
        <v>9.1450159945841714E-2</v>
      </c>
    </row>
    <row r="34" spans="3:3" x14ac:dyDescent="0.25">
      <c r="C34" s="27"/>
    </row>
  </sheetData>
  <sheetProtection selectLockedCells="1"/>
  <mergeCells count="2">
    <mergeCell ref="B25:G25"/>
    <mergeCell ref="B26:G26"/>
  </mergeCells>
  <conditionalFormatting sqref="B27:G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G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G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G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4"/>
  <sheetViews>
    <sheetView zoomScale="90" zoomScaleNormal="90" workbookViewId="0">
      <selection activeCell="F37" sqref="F37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4" width="17.140625" bestFit="1" customWidth="1"/>
    <col min="5" max="6" width="16" bestFit="1" customWidth="1"/>
    <col min="7" max="7" width="17.140625" bestFit="1" customWidth="1"/>
    <col min="10" max="10" width="27.5703125" bestFit="1" customWidth="1"/>
  </cols>
  <sheetData>
    <row r="2" spans="1:11" x14ac:dyDescent="0.25">
      <c r="A2" s="8" t="s">
        <v>5</v>
      </c>
      <c r="B2" s="12" t="s">
        <v>6</v>
      </c>
      <c r="J2" s="19" t="s">
        <v>14</v>
      </c>
    </row>
    <row r="3" spans="1:11" x14ac:dyDescent="0.25">
      <c r="A3" s="10" t="s">
        <v>9</v>
      </c>
      <c r="B3" s="11" t="s">
        <v>10</v>
      </c>
      <c r="J3" s="16" t="s">
        <v>17</v>
      </c>
      <c r="K3" s="16"/>
    </row>
    <row r="4" spans="1:11" x14ac:dyDescent="0.25">
      <c r="A4" s="1" t="s">
        <v>7</v>
      </c>
      <c r="B4" s="14">
        <v>11.3</v>
      </c>
      <c r="J4" s="17" t="s">
        <v>18</v>
      </c>
      <c r="K4" s="17"/>
    </row>
    <row r="5" spans="1:11" x14ac:dyDescent="0.25">
      <c r="A5" s="2" t="s">
        <v>8</v>
      </c>
      <c r="B5" s="3">
        <v>905</v>
      </c>
      <c r="J5" s="18" t="s">
        <v>15</v>
      </c>
      <c r="K5" s="18"/>
    </row>
    <row r="6" spans="1:11" x14ac:dyDescent="0.25">
      <c r="A6" s="2" t="s">
        <v>21</v>
      </c>
      <c r="B6" s="3">
        <v>19.899999999999999</v>
      </c>
      <c r="J6" s="15" t="s">
        <v>16</v>
      </c>
      <c r="K6" s="15"/>
    </row>
    <row r="7" spans="1:11" x14ac:dyDescent="0.25">
      <c r="A7" s="2" t="s">
        <v>30</v>
      </c>
      <c r="B7" s="3">
        <v>57.5</v>
      </c>
    </row>
    <row r="8" spans="1:11" x14ac:dyDescent="0.25">
      <c r="A8" s="2" t="s">
        <v>19</v>
      </c>
      <c r="B8" s="3">
        <v>15.4</v>
      </c>
    </row>
    <row r="9" spans="1:11" x14ac:dyDescent="0.25">
      <c r="A9" s="2" t="s">
        <v>31</v>
      </c>
      <c r="B9" s="3">
        <v>34.75</v>
      </c>
    </row>
    <row r="10" spans="1:11" x14ac:dyDescent="0.25">
      <c r="A10" s="2" t="s">
        <v>20</v>
      </c>
      <c r="B10" s="3">
        <v>89</v>
      </c>
    </row>
    <row r="11" spans="1:11" x14ac:dyDescent="0.25">
      <c r="A11" s="2"/>
      <c r="B11" s="3"/>
    </row>
    <row r="12" spans="1:11" x14ac:dyDescent="0.25">
      <c r="A12" s="2"/>
      <c r="B12" s="3"/>
    </row>
    <row r="13" spans="1:11" x14ac:dyDescent="0.25">
      <c r="A13" s="2"/>
      <c r="B13" s="3"/>
    </row>
    <row r="14" spans="1:11" x14ac:dyDescent="0.25">
      <c r="A14" s="13"/>
      <c r="B14" s="4"/>
    </row>
    <row r="17" spans="1:7" x14ac:dyDescent="0.25">
      <c r="A17" t="s">
        <v>0</v>
      </c>
    </row>
    <row r="18" spans="1:7" x14ac:dyDescent="0.25">
      <c r="A18" s="5" t="s">
        <v>1</v>
      </c>
      <c r="B18" s="26" t="s">
        <v>24</v>
      </c>
      <c r="C18" s="26" t="s">
        <v>25</v>
      </c>
      <c r="D18" s="26" t="s">
        <v>26</v>
      </c>
      <c r="E18" s="26" t="s">
        <v>27</v>
      </c>
      <c r="F18" s="26" t="s">
        <v>28</v>
      </c>
      <c r="G18" s="26" t="s">
        <v>29</v>
      </c>
    </row>
    <row r="19" spans="1:7" x14ac:dyDescent="0.25">
      <c r="A19" s="6" t="s">
        <v>2</v>
      </c>
      <c r="B19" s="20">
        <v>30.78</v>
      </c>
      <c r="C19" s="20">
        <v>5.6</v>
      </c>
      <c r="D19" s="20">
        <v>0.28000000000000003</v>
      </c>
      <c r="E19" s="20">
        <v>0.28000000000000003</v>
      </c>
      <c r="F19" s="20">
        <v>0.56000000000000005</v>
      </c>
      <c r="G19" s="20">
        <v>0.84</v>
      </c>
    </row>
    <row r="20" spans="1:7" x14ac:dyDescent="0.25">
      <c r="A20" s="6" t="s">
        <v>23</v>
      </c>
      <c r="B20" s="21">
        <v>621</v>
      </c>
      <c r="C20" s="21">
        <v>621</v>
      </c>
      <c r="D20" s="21">
        <v>621</v>
      </c>
      <c r="E20" s="21">
        <v>621</v>
      </c>
      <c r="F20" s="21">
        <v>621</v>
      </c>
      <c r="G20" s="21">
        <v>621</v>
      </c>
    </row>
    <row r="21" spans="1:7" x14ac:dyDescent="0.25">
      <c r="A21" s="6" t="s">
        <v>4</v>
      </c>
      <c r="B21" s="21">
        <f>2*B4+3*B7</f>
        <v>195.1</v>
      </c>
      <c r="C21" s="21">
        <f>6*B4+5*B8+5*B7</f>
        <v>432.3</v>
      </c>
      <c r="D21" s="21">
        <f>30*B6+100*B9+50*B8</f>
        <v>4842</v>
      </c>
      <c r="E21" s="21">
        <f>20*B4+8*B5+10*B6</f>
        <v>7665</v>
      </c>
      <c r="F21" s="21">
        <f>8*B5+30*B10+15*B8</f>
        <v>10141</v>
      </c>
      <c r="G21" s="21">
        <f>4*B5+5*B6</f>
        <v>3719.5</v>
      </c>
    </row>
    <row r="22" spans="1:7" ht="14.25" customHeight="1" x14ac:dyDescent="0.25">
      <c r="A22" s="5" t="s">
        <v>11</v>
      </c>
      <c r="B22" s="22">
        <f>B21</f>
        <v>195.1</v>
      </c>
      <c r="C22" s="22">
        <f t="shared" ref="C22:G22" si="0">C21</f>
        <v>432.3</v>
      </c>
      <c r="D22" s="22">
        <f t="shared" si="0"/>
        <v>4842</v>
      </c>
      <c r="E22" s="22">
        <f t="shared" si="0"/>
        <v>7665</v>
      </c>
      <c r="F22" s="22">
        <f t="shared" si="0"/>
        <v>10141</v>
      </c>
      <c r="G22" s="22">
        <f t="shared" si="0"/>
        <v>3719.5</v>
      </c>
    </row>
    <row r="23" spans="1:7" ht="14.25" customHeight="1" x14ac:dyDescent="0.25">
      <c r="A23" s="7" t="s">
        <v>3</v>
      </c>
      <c r="B23" s="23">
        <f>B20/B19</f>
        <v>20.175438596491226</v>
      </c>
      <c r="C23" s="23">
        <f t="shared" ref="C23:G23" si="1">C20/C19</f>
        <v>110.89285714285715</v>
      </c>
      <c r="D23" s="23">
        <f t="shared" si="1"/>
        <v>2217.8571428571427</v>
      </c>
      <c r="E23" s="23">
        <f t="shared" si="1"/>
        <v>2217.8571428571427</v>
      </c>
      <c r="F23" s="23">
        <f t="shared" si="1"/>
        <v>1108.9285714285713</v>
      </c>
      <c r="G23" s="23">
        <f t="shared" si="1"/>
        <v>739.28571428571433</v>
      </c>
    </row>
    <row r="24" spans="1:7" x14ac:dyDescent="0.25">
      <c r="A24" s="10" t="s">
        <v>22</v>
      </c>
      <c r="B24" s="24">
        <v>232</v>
      </c>
      <c r="C24" s="24">
        <v>620</v>
      </c>
      <c r="D24" s="24">
        <v>9580</v>
      </c>
      <c r="E24" s="24">
        <v>11450</v>
      </c>
      <c r="F24" s="24">
        <v>11700</v>
      </c>
      <c r="G24" s="24">
        <v>5150</v>
      </c>
    </row>
    <row r="25" spans="1:7" x14ac:dyDescent="0.25">
      <c r="A25" s="10" t="s">
        <v>12</v>
      </c>
      <c r="B25" s="25">
        <v>0.05</v>
      </c>
      <c r="C25" s="25"/>
      <c r="D25" s="25"/>
      <c r="E25" s="25"/>
      <c r="F25" s="25"/>
      <c r="G25" s="25"/>
    </row>
    <row r="26" spans="1:7" x14ac:dyDescent="0.25">
      <c r="A26" s="10" t="s">
        <v>13</v>
      </c>
      <c r="B26" s="28">
        <v>0.25</v>
      </c>
      <c r="C26" s="28"/>
      <c r="D26" s="28"/>
      <c r="E26" s="28"/>
      <c r="F26" s="28"/>
      <c r="G26" s="28"/>
    </row>
    <row r="27" spans="1:7" x14ac:dyDescent="0.25">
      <c r="A27" s="5" t="s">
        <v>50</v>
      </c>
      <c r="B27" s="29">
        <f>OBL(B24,B22,B23,B19,$B$25,$B$26,0)</f>
        <v>104.85838842474311</v>
      </c>
      <c r="C27" s="29">
        <f>OBL(C24,C22,C23,C19,$B$25,$B$26,0)</f>
        <v>88.593757596332907</v>
      </c>
      <c r="D27" s="29">
        <f>OBL(D24,D22,D23,D19,$B$25,$B$26,0)</f>
        <v>141.52307185133714</v>
      </c>
      <c r="E27" s="29">
        <f>OBL(E24,E22,E23,E19,$B$25,$B$26,0)</f>
        <v>90.261325515121229</v>
      </c>
      <c r="F27" s="29">
        <f>OBL(F24,F22,F23,F19,$B$25,$B$26,0)</f>
        <v>54.383474504683207</v>
      </c>
      <c r="G27" s="30">
        <f>OBL(G24,G22,G23,G19,$B$25,$B$26,0)</f>
        <v>117.50589479035037</v>
      </c>
    </row>
    <row r="28" spans="1:7" ht="16.5" customHeight="1" x14ac:dyDescent="0.25">
      <c r="A28" s="7" t="s">
        <v>51</v>
      </c>
      <c r="B28" s="31">
        <f>Profit(B27,B24,B22,B23,B19,$B$25,$B$26,0)*24</f>
        <v>722970.72270103043</v>
      </c>
      <c r="C28" s="31">
        <f>Profit(C27,C24,C22,C23,C19,$B$25,$B$26,0)*24</f>
        <v>516085.42725883081</v>
      </c>
      <c r="D28" s="31">
        <f>Profit(D27,D24,D22,D23,D19,$B$25,$B$26,0)*24</f>
        <v>1316951.158932942</v>
      </c>
      <c r="E28" s="31">
        <f>Profit(E27,E24,E22,E23,E19,$B$25,$B$26,0)*24</f>
        <v>535696.22933379561</v>
      </c>
      <c r="F28" s="31">
        <f>Profit(F27,F24,F22,F23,F19,$B$25,$B$26,0)*24</f>
        <v>194468.4248956037</v>
      </c>
      <c r="G28" s="32">
        <f>Profit(G27,G24,G22,G23,G19,$B$25,$B$26,0)*24</f>
        <v>907892.61481238902</v>
      </c>
    </row>
    <row r="29" spans="1:7" x14ac:dyDescent="0.25">
      <c r="A29" s="5" t="s">
        <v>52</v>
      </c>
      <c r="B29" s="33">
        <f>OBL(B24,B22,B23,B19,$B$25,$B$26,1)</f>
        <v>111.60658600488981</v>
      </c>
      <c r="C29" s="33">
        <f>OBL(C24,C22,C23,C19,$B$25,$B$26,1)</f>
        <v>94.838925357044232</v>
      </c>
      <c r="D29" s="33">
        <f>OBL(D24,D22,D23,D19,$B$25,$B$26,1)</f>
        <v>149.4052287127187</v>
      </c>
      <c r="E29" s="33">
        <f>OBL(E24,E22,E23,E19,$B$25,$B$26,1)</f>
        <v>96.558067541362092</v>
      </c>
      <c r="F29" s="33">
        <f>OBL(F24,F22,F23,F19,$B$25,$B$26,1)</f>
        <v>59.570592272869284</v>
      </c>
      <c r="G29" s="34">
        <f>OBL(G24,G22,G23,G19,$B$25,$B$26,1)</f>
        <v>124.64525236118594</v>
      </c>
    </row>
    <row r="30" spans="1:7" x14ac:dyDescent="0.25">
      <c r="A30" s="7" t="s">
        <v>53</v>
      </c>
      <c r="B30" s="35">
        <f>Profit(B29,B24,B22,B23,B19,$B$25,$B$26,1)*24</f>
        <v>794448.47235847265</v>
      </c>
      <c r="C30" s="35">
        <f>Profit(C29,C24,C22,C23,C19,$B$25,$B$26,1)*24</f>
        <v>573667.6162454274</v>
      </c>
      <c r="D30" s="35">
        <f>Profit(D29,D24,D22,D23,D19,$B$25,$B$26,1)*24</f>
        <v>1423700.0593625407</v>
      </c>
      <c r="E30" s="35">
        <f>Profit(E29,E24,E22,E23,E19,$B$25,$B$26,1)*24</f>
        <v>594653.583921207</v>
      </c>
      <c r="F30" s="35">
        <f>Profit(F29,F24,F22,F23,F19,$B$25,$B$26,1)*24</f>
        <v>226334.50377548381</v>
      </c>
      <c r="G30" s="36">
        <f>Profit(G29,G24,G22,G23,G19,$B$25,$B$26,1)*24</f>
        <v>990919.53965063044</v>
      </c>
    </row>
    <row r="31" spans="1:7" x14ac:dyDescent="0.25">
      <c r="A31" s="45" t="s">
        <v>54</v>
      </c>
      <c r="B31" s="38">
        <f>B30/B28-1</f>
        <v>9.8866727812158439E-2</v>
      </c>
      <c r="C31" s="38">
        <f t="shared" ref="C31:G31" si="2">C30/C28-1</f>
        <v>0.11157491753340598</v>
      </c>
      <c r="D31" s="38">
        <f t="shared" si="2"/>
        <v>8.1057600128536134E-2</v>
      </c>
      <c r="E31" s="38">
        <f t="shared" si="2"/>
        <v>0.11005743807592627</v>
      </c>
      <c r="F31" s="38">
        <f t="shared" si="2"/>
        <v>0.16386248254433466</v>
      </c>
      <c r="G31" s="39">
        <f t="shared" si="2"/>
        <v>9.1450159945841714E-2</v>
      </c>
    </row>
    <row r="34" spans="3:3" x14ac:dyDescent="0.25">
      <c r="C34" s="27"/>
    </row>
  </sheetData>
  <sheetProtection selectLockedCells="1"/>
  <mergeCells count="2">
    <mergeCell ref="B25:G25"/>
    <mergeCell ref="B26:G26"/>
  </mergeCells>
  <conditionalFormatting sqref="B27:G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G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G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G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L34"/>
  <sheetViews>
    <sheetView zoomScale="90" zoomScaleNormal="90" workbookViewId="0">
      <selection activeCell="C38" sqref="C38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6" customWidth="1"/>
    <col min="7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39</v>
      </c>
      <c r="B4" s="14">
        <v>69.5</v>
      </c>
      <c r="K4" s="17" t="s">
        <v>18</v>
      </c>
      <c r="L4" s="17"/>
    </row>
    <row r="5" spans="1:12" x14ac:dyDescent="0.25">
      <c r="A5" s="2" t="s">
        <v>21</v>
      </c>
      <c r="B5" s="3">
        <v>19.899999999999999</v>
      </c>
      <c r="K5" s="18" t="s">
        <v>15</v>
      </c>
      <c r="L5" s="18"/>
    </row>
    <row r="6" spans="1:12" x14ac:dyDescent="0.25">
      <c r="A6" s="2" t="s">
        <v>31</v>
      </c>
      <c r="B6" s="3">
        <v>34.75</v>
      </c>
      <c r="K6" s="15" t="s">
        <v>16</v>
      </c>
      <c r="L6" s="15"/>
    </row>
    <row r="7" spans="1:12" x14ac:dyDescent="0.25">
      <c r="A7" s="2" t="s">
        <v>40</v>
      </c>
      <c r="B7" s="3">
        <v>8</v>
      </c>
    </row>
    <row r="8" spans="1:12" x14ac:dyDescent="0.25">
      <c r="A8" s="2" t="s">
        <v>7</v>
      </c>
      <c r="B8" s="3">
        <v>11.3</v>
      </c>
    </row>
    <row r="9" spans="1:12" x14ac:dyDescent="0.25">
      <c r="A9" s="2"/>
      <c r="B9" s="3"/>
    </row>
    <row r="10" spans="1:12" x14ac:dyDescent="0.25">
      <c r="A10" s="2"/>
      <c r="B10" s="3"/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32</v>
      </c>
      <c r="C18" s="26" t="s">
        <v>33</v>
      </c>
      <c r="D18" s="26" t="s">
        <v>34</v>
      </c>
      <c r="E18" s="26" t="s">
        <v>35</v>
      </c>
      <c r="F18" s="26" t="s">
        <v>36</v>
      </c>
      <c r="G18" s="26" t="s">
        <v>37</v>
      </c>
      <c r="H18" s="26" t="s">
        <v>38</v>
      </c>
    </row>
    <row r="19" spans="1:8" x14ac:dyDescent="0.25">
      <c r="A19" s="6" t="s">
        <v>2</v>
      </c>
      <c r="B19" s="20">
        <v>3.48</v>
      </c>
      <c r="C19" s="20">
        <v>8.5399999999999991</v>
      </c>
      <c r="D19" s="20">
        <v>4.74</v>
      </c>
      <c r="E19" s="20">
        <v>12.65</v>
      </c>
      <c r="F19" s="20"/>
      <c r="G19" s="20"/>
      <c r="H19" s="20"/>
    </row>
    <row r="20" spans="1:8" x14ac:dyDescent="0.25">
      <c r="A20" s="6" t="s">
        <v>23</v>
      </c>
      <c r="B20" s="21">
        <v>587</v>
      </c>
      <c r="C20" s="21">
        <v>587</v>
      </c>
      <c r="D20" s="21">
        <v>587</v>
      </c>
      <c r="E20" s="21">
        <v>587</v>
      </c>
      <c r="F20" s="21"/>
      <c r="G20" s="21"/>
      <c r="H20" s="21"/>
    </row>
    <row r="21" spans="1:8" x14ac:dyDescent="0.25">
      <c r="A21" s="6" t="s">
        <v>4</v>
      </c>
      <c r="B21" s="21">
        <f>40*B4</f>
        <v>2780</v>
      </c>
      <c r="C21" s="21">
        <f>30*B4+5*B5</f>
        <v>2184.5</v>
      </c>
      <c r="D21" s="21">
        <f>50*B5+250*B6</f>
        <v>9682.5</v>
      </c>
      <c r="E21" s="21">
        <f>20*B8+30*B7</f>
        <v>466</v>
      </c>
      <c r="F21" s="21"/>
      <c r="G21" s="21"/>
      <c r="H21" s="21"/>
    </row>
    <row r="22" spans="1:8" ht="14.25" customHeight="1" x14ac:dyDescent="0.25">
      <c r="A22" s="5" t="s">
        <v>11</v>
      </c>
      <c r="B22" s="22">
        <f>B21</f>
        <v>2780</v>
      </c>
      <c r="C22" s="22">
        <f t="shared" ref="C22:H22" si="0">C21</f>
        <v>2184.5</v>
      </c>
      <c r="D22" s="22">
        <f t="shared" si="0"/>
        <v>9682.5</v>
      </c>
      <c r="E22" s="22">
        <f t="shared" si="0"/>
        <v>466</v>
      </c>
      <c r="F22" s="22"/>
      <c r="G22" s="22"/>
      <c r="H22" s="22"/>
    </row>
    <row r="23" spans="1:8" ht="14.25" customHeight="1" x14ac:dyDescent="0.25">
      <c r="A23" s="7" t="s">
        <v>3</v>
      </c>
      <c r="B23" s="23">
        <f>B20/B19</f>
        <v>168.67816091954023</v>
      </c>
      <c r="C23" s="23">
        <f t="shared" ref="C23:H23" si="1">C20/C19</f>
        <v>68.735362997658086</v>
      </c>
      <c r="D23" s="23">
        <f t="shared" si="1"/>
        <v>123.83966244725738</v>
      </c>
      <c r="E23" s="23">
        <f t="shared" si="1"/>
        <v>46.403162055335969</v>
      </c>
      <c r="F23" s="23"/>
      <c r="G23" s="23"/>
      <c r="H23" s="23"/>
    </row>
    <row r="24" spans="1:8" x14ac:dyDescent="0.25">
      <c r="A24" s="10" t="s">
        <v>22</v>
      </c>
      <c r="B24" s="24">
        <v>3050</v>
      </c>
      <c r="C24" s="24">
        <v>2210</v>
      </c>
      <c r="D24" s="24">
        <v>9550</v>
      </c>
      <c r="E24" s="24">
        <v>580</v>
      </c>
      <c r="F24" s="24"/>
      <c r="G24" s="24"/>
      <c r="H24" s="24"/>
    </row>
    <row r="25" spans="1:8" x14ac:dyDescent="0.25">
      <c r="A25" s="10" t="s">
        <v>12</v>
      </c>
      <c r="B25" s="25">
        <v>0.05</v>
      </c>
      <c r="C25" s="25"/>
      <c r="D25" s="25"/>
      <c r="E25" s="25"/>
      <c r="F25" s="25"/>
      <c r="G25" s="25"/>
      <c r="H25" s="25"/>
    </row>
    <row r="26" spans="1:8" x14ac:dyDescent="0.25">
      <c r="A26" s="10" t="s">
        <v>13</v>
      </c>
      <c r="B26" s="28">
        <v>0.25</v>
      </c>
      <c r="C26" s="28"/>
      <c r="D26" s="28"/>
      <c r="E26" s="28"/>
      <c r="F26" s="28"/>
      <c r="G26" s="28"/>
      <c r="H26" s="28"/>
    </row>
    <row r="27" spans="1:8" x14ac:dyDescent="0.25">
      <c r="A27" s="8" t="s">
        <v>50</v>
      </c>
      <c r="B27" s="40">
        <f>OBL(B24,B22,B23,B19,$B$25,$B$26,0)</f>
        <v>77.625108930038422</v>
      </c>
      <c r="C27" s="29">
        <f>OBL(C24,C22,C23,C19,$B$25,$B$26,0)</f>
        <v>0</v>
      </c>
      <c r="D27" s="29">
        <f>OBL(D24,D22,D23,D19,$B$25,$B$26,0)</f>
        <v>0</v>
      </c>
      <c r="E27" s="29">
        <f>OBL(E24,E22,E23,E19,$B$25,$B$26,0)</f>
        <v>179.74990230558814</v>
      </c>
      <c r="F27" s="29"/>
      <c r="G27" s="29"/>
      <c r="H27" s="30"/>
    </row>
    <row r="28" spans="1:8" ht="16.5" customHeight="1" x14ac:dyDescent="0.25">
      <c r="A28" s="9" t="s">
        <v>51</v>
      </c>
      <c r="B28" s="41">
        <f>Profit(B27,B24,B22,B23,B19,$B$25,$B$26,0)*24</f>
        <v>374512.42517891491</v>
      </c>
      <c r="C28" s="31">
        <f>Profit(C27,C24,C22,C23,C19,$B$25,$B$26,0)*24</f>
        <v>0</v>
      </c>
      <c r="D28" s="31">
        <f>Profit(D27,D24,D22,D23,D19,$B$25,$B$26,0)*24</f>
        <v>0</v>
      </c>
      <c r="E28" s="31">
        <f>Profit(E27,E24,E22,E23,E19,$B$25,$B$26,0)*24</f>
        <v>2008164.8731985935</v>
      </c>
      <c r="F28" s="31"/>
      <c r="G28" s="31"/>
      <c r="H28" s="32"/>
    </row>
    <row r="29" spans="1:8" x14ac:dyDescent="0.25">
      <c r="A29" s="8" t="s">
        <v>52</v>
      </c>
      <c r="B29" s="42">
        <f>OBL(B24,B22,B23,B19,$B$25,$B$26,1)</f>
        <v>83.53104013406022</v>
      </c>
      <c r="C29" s="33">
        <f>OBL(C24,C22,C23,C19,$B$25,$B$26,1)</f>
        <v>0</v>
      </c>
      <c r="D29" s="33">
        <f>OBL(D24,D22,D23,D19,$B$25,$B$26,1)</f>
        <v>0</v>
      </c>
      <c r="E29" s="33">
        <f>OBL(E24,E22,E23,E19,$B$25,$B$26,1)</f>
        <v>188.81433227380219</v>
      </c>
      <c r="F29" s="33"/>
      <c r="G29" s="33"/>
      <c r="H29" s="34"/>
    </row>
    <row r="30" spans="1:8" x14ac:dyDescent="0.25">
      <c r="A30" s="9" t="s">
        <v>53</v>
      </c>
      <c r="B30" s="43">
        <f>Profit(B29,B24,B22,B23,B19,$B$25,$B$26,1)*24</f>
        <v>420658.14122125885</v>
      </c>
      <c r="C30" s="35">
        <f>Profit(C29,C24,C22,C23,C19,$B$25,$B$26,1)*24</f>
        <v>0</v>
      </c>
      <c r="D30" s="35">
        <f>Profit(D29,D24,D22,D23,D19,$B$25,$B$26,1)*24</f>
        <v>0</v>
      </c>
      <c r="E30" s="35">
        <f>Profit(E29,E24,E22,E23,E19,$B$25,$B$26,1)*24</f>
        <v>2149332.9099155809</v>
      </c>
      <c r="F30" s="35"/>
      <c r="G30" s="35"/>
      <c r="H30" s="36"/>
    </row>
    <row r="31" spans="1:8" x14ac:dyDescent="0.25">
      <c r="A31" s="37" t="s">
        <v>54</v>
      </c>
      <c r="B31" s="44">
        <f>B30/B28-1</f>
        <v>0.12321544744556556</v>
      </c>
      <c r="C31" s="38"/>
      <c r="D31" s="38"/>
      <c r="E31" s="38">
        <f t="shared" ref="C31:H31" si="2">E30/E28-1</f>
        <v>7.0297035169296418E-2</v>
      </c>
      <c r="F31" s="38"/>
      <c r="G31" s="38"/>
      <c r="H31" s="39"/>
    </row>
    <row r="34" spans="3:3" x14ac:dyDescent="0.25">
      <c r="C34" s="27"/>
    </row>
  </sheetData>
  <sheetProtection selectLockedCells="1"/>
  <mergeCells count="2">
    <mergeCell ref="B25:H25"/>
    <mergeCell ref="B26:H26"/>
  </mergeCells>
  <conditionalFormatting sqref="B27:H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J34"/>
  <sheetViews>
    <sheetView zoomScale="90" zoomScaleNormal="90" workbookViewId="0">
      <selection activeCell="C34" sqref="C34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7.140625" bestFit="1" customWidth="1"/>
    <col min="9" max="9" width="27.5703125" bestFit="1" customWidth="1"/>
  </cols>
  <sheetData>
    <row r="2" spans="1:10" x14ac:dyDescent="0.25">
      <c r="A2" s="8" t="s">
        <v>5</v>
      </c>
      <c r="B2" s="12" t="s">
        <v>6</v>
      </c>
      <c r="I2" s="19" t="s">
        <v>14</v>
      </c>
    </row>
    <row r="3" spans="1:10" x14ac:dyDescent="0.25">
      <c r="A3" s="10" t="s">
        <v>9</v>
      </c>
      <c r="B3" s="11" t="s">
        <v>10</v>
      </c>
      <c r="I3" s="16" t="s">
        <v>17</v>
      </c>
      <c r="J3" s="16"/>
    </row>
    <row r="4" spans="1:10" x14ac:dyDescent="0.25">
      <c r="A4" s="1" t="s">
        <v>8</v>
      </c>
      <c r="B4" s="14">
        <v>875</v>
      </c>
      <c r="I4" s="17" t="s">
        <v>18</v>
      </c>
      <c r="J4" s="17"/>
    </row>
    <row r="5" spans="1:10" x14ac:dyDescent="0.25">
      <c r="A5" s="2" t="s">
        <v>46</v>
      </c>
      <c r="B5" s="3">
        <v>456</v>
      </c>
      <c r="I5" s="18" t="s">
        <v>15</v>
      </c>
      <c r="J5" s="18"/>
    </row>
    <row r="6" spans="1:10" x14ac:dyDescent="0.25">
      <c r="A6" s="2" t="s">
        <v>47</v>
      </c>
      <c r="B6" s="3">
        <v>119</v>
      </c>
      <c r="I6" s="15" t="s">
        <v>16</v>
      </c>
      <c r="J6" s="15"/>
    </row>
    <row r="7" spans="1:10" x14ac:dyDescent="0.25">
      <c r="A7" s="2" t="s">
        <v>48</v>
      </c>
      <c r="B7" s="3">
        <v>310</v>
      </c>
    </row>
    <row r="8" spans="1:10" x14ac:dyDescent="0.25">
      <c r="A8" s="2" t="s">
        <v>7</v>
      </c>
      <c r="B8" s="3">
        <v>10.8</v>
      </c>
    </row>
    <row r="9" spans="1:10" x14ac:dyDescent="0.25">
      <c r="A9" s="2" t="s">
        <v>20</v>
      </c>
      <c r="B9" s="3">
        <v>86.8</v>
      </c>
    </row>
    <row r="10" spans="1:10" x14ac:dyDescent="0.25">
      <c r="A10" s="2" t="s">
        <v>24</v>
      </c>
      <c r="B10" s="3">
        <v>230</v>
      </c>
    </row>
    <row r="11" spans="1:10" x14ac:dyDescent="0.25">
      <c r="A11" s="2" t="s">
        <v>30</v>
      </c>
      <c r="B11" s="3">
        <v>55.3</v>
      </c>
    </row>
    <row r="12" spans="1:10" x14ac:dyDescent="0.25">
      <c r="A12" s="2" t="s">
        <v>49</v>
      </c>
      <c r="B12" s="3">
        <v>11.5</v>
      </c>
    </row>
    <row r="13" spans="1:10" x14ac:dyDescent="0.25">
      <c r="A13" s="2" t="s">
        <v>28</v>
      </c>
      <c r="B13" s="3">
        <v>11550</v>
      </c>
    </row>
    <row r="14" spans="1:10" x14ac:dyDescent="0.25">
      <c r="A14" s="13"/>
      <c r="B14" s="4"/>
    </row>
    <row r="17" spans="1:6" x14ac:dyDescent="0.25">
      <c r="A17" t="s">
        <v>0</v>
      </c>
    </row>
    <row r="18" spans="1:6" x14ac:dyDescent="0.25">
      <c r="A18" s="5" t="s">
        <v>1</v>
      </c>
      <c r="B18" s="26" t="s">
        <v>41</v>
      </c>
      <c r="C18" s="26" t="s">
        <v>42</v>
      </c>
      <c r="D18" s="26" t="s">
        <v>43</v>
      </c>
      <c r="E18" s="26" t="s">
        <v>44</v>
      </c>
      <c r="F18" s="26" t="s">
        <v>45</v>
      </c>
    </row>
    <row r="19" spans="1:6" x14ac:dyDescent="0.25">
      <c r="A19" s="6" t="s">
        <v>2</v>
      </c>
      <c r="B19" s="20">
        <v>2.38</v>
      </c>
      <c r="C19" s="20">
        <v>2.38</v>
      </c>
      <c r="D19" s="20">
        <v>2.86</v>
      </c>
      <c r="E19" s="20">
        <v>13.1</v>
      </c>
      <c r="F19" s="20"/>
    </row>
    <row r="20" spans="1:6" x14ac:dyDescent="0.25">
      <c r="A20" s="6" t="s">
        <v>23</v>
      </c>
      <c r="B20" s="21">
        <v>725</v>
      </c>
      <c r="C20" s="21">
        <v>725</v>
      </c>
      <c r="D20" s="21">
        <v>725</v>
      </c>
      <c r="E20" s="21">
        <v>725</v>
      </c>
      <c r="F20" s="21"/>
    </row>
    <row r="21" spans="1:6" x14ac:dyDescent="0.25">
      <c r="A21" s="6" t="s">
        <v>4</v>
      </c>
      <c r="B21" s="21">
        <f>B4*4+2*B5</f>
        <v>4412</v>
      </c>
      <c r="C21" s="21">
        <f>4*B4+8*B6+1*B7</f>
        <v>4762</v>
      </c>
      <c r="D21" s="21">
        <f>3*B8+5*B9+3*B10</f>
        <v>1156.4000000000001</v>
      </c>
      <c r="E21" s="21">
        <f>B5+B9+3*B11+2*B12</f>
        <v>731.69999999999993</v>
      </c>
      <c r="F21" s="21"/>
    </row>
    <row r="22" spans="1:6" ht="14.25" customHeight="1" x14ac:dyDescent="0.25">
      <c r="A22" s="5" t="s">
        <v>11</v>
      </c>
      <c r="B22" s="22">
        <f>B21</f>
        <v>4412</v>
      </c>
      <c r="C22" s="22">
        <f t="shared" ref="C22:E22" si="0">C21</f>
        <v>4762</v>
      </c>
      <c r="D22" s="22">
        <f t="shared" si="0"/>
        <v>1156.4000000000001</v>
      </c>
      <c r="E22" s="22">
        <f t="shared" si="0"/>
        <v>731.69999999999993</v>
      </c>
      <c r="F22" s="22"/>
    </row>
    <row r="23" spans="1:6" ht="14.25" customHeight="1" x14ac:dyDescent="0.25">
      <c r="A23" s="7" t="s">
        <v>3</v>
      </c>
      <c r="B23" s="23">
        <f>B20/B19</f>
        <v>304.62184873949582</v>
      </c>
      <c r="C23" s="23">
        <f t="shared" ref="C23:E23" si="1">C20/C19</f>
        <v>304.62184873949582</v>
      </c>
      <c r="D23" s="23">
        <f t="shared" si="1"/>
        <v>253.49650349650352</v>
      </c>
      <c r="E23" s="23">
        <f t="shared" si="1"/>
        <v>55.343511450381683</v>
      </c>
      <c r="F23" s="23"/>
    </row>
    <row r="24" spans="1:6" x14ac:dyDescent="0.25">
      <c r="A24" s="10" t="s">
        <v>22</v>
      </c>
      <c r="B24" s="24">
        <v>5040</v>
      </c>
      <c r="C24" s="24">
        <v>5400</v>
      </c>
      <c r="D24" s="24">
        <v>1730</v>
      </c>
      <c r="E24" s="24">
        <v>855</v>
      </c>
      <c r="F24" s="24"/>
    </row>
    <row r="25" spans="1:6" x14ac:dyDescent="0.25">
      <c r="A25" s="10" t="s">
        <v>12</v>
      </c>
      <c r="B25" s="25">
        <v>0.05</v>
      </c>
      <c r="C25" s="25"/>
      <c r="D25" s="25"/>
      <c r="E25" s="25"/>
      <c r="F25" s="25"/>
    </row>
    <row r="26" spans="1:6" x14ac:dyDescent="0.25">
      <c r="A26" s="10" t="s">
        <v>13</v>
      </c>
      <c r="B26" s="28">
        <v>0.25</v>
      </c>
      <c r="C26" s="28"/>
      <c r="D26" s="28"/>
      <c r="E26" s="28"/>
      <c r="F26" s="28"/>
    </row>
    <row r="27" spans="1:6" x14ac:dyDescent="0.25">
      <c r="A27" s="8" t="s">
        <v>50</v>
      </c>
      <c r="B27" s="40">
        <f>OBL(B24,B22,B23,B19,$B$25,$B$26,0)</f>
        <v>132.60867818919735</v>
      </c>
      <c r="C27" s="29">
        <f>OBL(C24,C22,C23,C19,$B$25,$B$26,0)</f>
        <v>136.52495225802744</v>
      </c>
      <c r="D27" s="29">
        <f>OBL(D24,D22,D23,D19,$B$25,$B$26,0)</f>
        <v>156.60914588910373</v>
      </c>
      <c r="E27" s="29">
        <f>OBL(E24,E22,E23,E19,$B$25,$B$26,0)</f>
        <v>152.45169443344184</v>
      </c>
      <c r="F27" s="30"/>
    </row>
    <row r="28" spans="1:6" ht="16.5" customHeight="1" x14ac:dyDescent="0.25">
      <c r="A28" s="9" t="s">
        <v>51</v>
      </c>
      <c r="B28" s="41">
        <f>Profit(B27,B24,B22,B23,B19,$B$25,$B$26,0)*24</f>
        <v>1349911.8603709715</v>
      </c>
      <c r="C28" s="31">
        <f>Profit(C27,C24,C22,C23,C19,$B$25,$B$26,0)*24</f>
        <v>1430821.9286401581</v>
      </c>
      <c r="D28" s="31">
        <f>Profit(D27,D24,D22,D23,D19,$B$25,$B$26,0)*24</f>
        <v>1882763.7429619927</v>
      </c>
      <c r="E28" s="31">
        <f>Profit(E27,E24,E22,E23,E19,$B$25,$B$26,0)*24</f>
        <v>1784128.0115755142</v>
      </c>
      <c r="F28" s="32"/>
    </row>
    <row r="29" spans="1:6" x14ac:dyDescent="0.25">
      <c r="A29" t="s">
        <v>52</v>
      </c>
      <c r="B29" s="46">
        <f>OBL(B24,B22,B23,B19,$B$25,$B$26,1)</f>
        <v>140.21513215381168</v>
      </c>
      <c r="C29" s="47">
        <f>OBL(C24,C22,C23,C19,$B$25,$B$26,1)</f>
        <v>144.25252810105923</v>
      </c>
      <c r="D29" s="47">
        <f>OBL(D24,D22,D23,D19,$B$25,$B$26,1)</f>
        <v>164.95788235990074</v>
      </c>
      <c r="E29" s="47">
        <f>OBL(E24,E22,E23,E19,$B$25,$B$26,1)</f>
        <v>160.67184993138332</v>
      </c>
      <c r="F29" s="48"/>
    </row>
    <row r="30" spans="1:6" x14ac:dyDescent="0.25">
      <c r="A30" t="s">
        <v>53</v>
      </c>
      <c r="B30" s="49">
        <f>Profit(B29,B24,B22,B23,B19,$B$25,$B$26,1)*24</f>
        <v>1463939.1537817232</v>
      </c>
      <c r="C30" s="50">
        <f>Profit(C29,C24,C22,C23,C19,$B$25,$B$26,1)*24</f>
        <v>1549459.1156436088</v>
      </c>
      <c r="D30" s="50">
        <f>Profit(D29,D24,D22,D23,D19,$B$25,$B$26,1)*24</f>
        <v>2026186.7175013185</v>
      </c>
      <c r="E30" s="50">
        <f>Profit(E29,E24,E22,E23,E19,$B$25,$B$26,1)*24</f>
        <v>1922263.0715684413</v>
      </c>
      <c r="F30" s="51"/>
    </row>
    <row r="31" spans="1:6" x14ac:dyDescent="0.25">
      <c r="A31" s="37" t="s">
        <v>54</v>
      </c>
      <c r="B31" s="44">
        <f>B30/B28-1</f>
        <v>8.4470176726512802E-2</v>
      </c>
      <c r="C31" s="38">
        <f t="shared" ref="C31:F31" si="2">C30/C28-1</f>
        <v>8.2915410107114118E-2</v>
      </c>
      <c r="D31" s="38">
        <f t="shared" si="2"/>
        <v>7.6176830510710003E-2</v>
      </c>
      <c r="E31" s="38">
        <f t="shared" si="2"/>
        <v>7.7424410746706362E-2</v>
      </c>
      <c r="F31" s="39"/>
    </row>
    <row r="34" spans="3:3" x14ac:dyDescent="0.25">
      <c r="C34" s="27"/>
    </row>
  </sheetData>
  <sheetProtection selectLockedCells="1"/>
  <mergeCells count="2">
    <mergeCell ref="B25:F25"/>
    <mergeCell ref="B26:F26"/>
  </mergeCells>
  <conditionalFormatting sqref="B27:F27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F28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F29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F30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Refinery Q3</vt:lpstr>
      <vt:lpstr>Propulsion Factory Q3</vt:lpstr>
      <vt:lpstr>Aerospace Factory Q3</vt:lpstr>
      <vt:lpstr>Aerospace Electronics Q3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2021-07-30T16:08:51Z</dcterms:modified>
</cp:coreProperties>
</file>