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firstSheet="1" activeTab="6"/>
  </bookViews>
  <sheets>
    <sheet name="Power plant Q3" sheetId="12" r:id="rId1"/>
    <sheet name="Water Reservoir Q3" sheetId="13" r:id="rId2"/>
    <sheet name="General Contractor Q0" sheetId="14" r:id="rId3"/>
    <sheet name="Electronics Factory Q3" sheetId="11" r:id="rId4"/>
    <sheet name="Propulsion Factory Q3" sheetId="6" r:id="rId5"/>
    <sheet name="Aerospace Factory Q3" sheetId="9" r:id="rId6"/>
    <sheet name="Aerospace Electronics Q3" sheetId="10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4" l="1"/>
  <c r="B22" i="14" s="1"/>
  <c r="B23" i="14"/>
  <c r="B29" i="14"/>
  <c r="B27" i="14"/>
  <c r="B28" i="14" s="1"/>
  <c r="B30" i="14"/>
  <c r="B31" i="14" l="1"/>
  <c r="B21" i="13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H27" i="11"/>
  <c r="H29" i="11"/>
  <c r="B29" i="13"/>
  <c r="F29" i="11"/>
  <c r="G29" i="11"/>
  <c r="B27" i="12"/>
  <c r="B27" i="13"/>
  <c r="D29" i="11"/>
  <c r="G27" i="11"/>
  <c r="B28" i="13"/>
  <c r="E29" i="11"/>
  <c r="H28" i="11"/>
  <c r="D27" i="11"/>
  <c r="B29" i="12"/>
  <c r="B30" i="13"/>
  <c r="E27" i="11"/>
  <c r="B30" i="12"/>
  <c r="F27" i="11"/>
  <c r="B31" i="13" l="1"/>
  <c r="C23" i="11"/>
  <c r="B23" i="11"/>
  <c r="C22" i="11"/>
  <c r="B22" i="11"/>
  <c r="E21" i="10"/>
  <c r="E22" i="10" s="1"/>
  <c r="D21" i="10"/>
  <c r="D22" i="10" s="1"/>
  <c r="C21" i="10"/>
  <c r="C22" i="10" s="1"/>
  <c r="B21" i="10"/>
  <c r="B22" i="10" s="1"/>
  <c r="E23" i="10"/>
  <c r="D23" i="10"/>
  <c r="C23" i="10"/>
  <c r="B23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F28" i="11"/>
  <c r="F30" i="11"/>
  <c r="E28" i="11"/>
  <c r="H30" i="11"/>
  <c r="B29" i="11"/>
  <c r="D30" i="11"/>
  <c r="D28" i="11"/>
  <c r="E30" i="11"/>
  <c r="G28" i="11"/>
  <c r="B27" i="11"/>
  <c r="B28" i="11"/>
  <c r="B28" i="12"/>
  <c r="C27" i="11"/>
  <c r="G30" i="11"/>
  <c r="C29" i="11"/>
  <c r="E29" i="10"/>
  <c r="B27" i="10"/>
  <c r="D27" i="10"/>
  <c r="C27" i="10"/>
  <c r="C29" i="10"/>
  <c r="E27" i="10"/>
  <c r="D29" i="10"/>
  <c r="B29" i="10"/>
  <c r="D30" i="10"/>
  <c r="D27" i="9"/>
  <c r="B29" i="9"/>
  <c r="B30" i="9" s="1"/>
  <c r="C29" i="9"/>
  <c r="E29" i="9"/>
  <c r="E30" i="9" s="1"/>
  <c r="B27" i="9"/>
  <c r="C27" i="9"/>
  <c r="D28" i="9"/>
  <c r="D29" i="9"/>
  <c r="C28" i="9"/>
  <c r="E27" i="9"/>
  <c r="E28" i="9" s="1"/>
  <c r="G31" i="11" l="1"/>
  <c r="B31" i="12"/>
  <c r="E31" i="11"/>
  <c r="D31" i="11"/>
  <c r="H31" i="11"/>
  <c r="F31" i="11"/>
  <c r="E31" i="9"/>
  <c r="B30" i="11"/>
  <c r="C28" i="11"/>
  <c r="C30" i="11"/>
  <c r="B30" i="10"/>
  <c r="C28" i="10"/>
  <c r="E28" i="10"/>
  <c r="E30" i="10"/>
  <c r="C30" i="10"/>
  <c r="D28" i="10"/>
  <c r="B28" i="10"/>
  <c r="B28" i="9"/>
  <c r="D30" i="9"/>
  <c r="C30" i="9"/>
  <c r="C31" i="11" l="1"/>
  <c r="B31" i="10"/>
  <c r="D31" i="10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F27" i="6"/>
  <c r="G29" i="6"/>
  <c r="B29" i="6"/>
  <c r="B30" i="6"/>
  <c r="E29" i="6"/>
  <c r="E27" i="6"/>
  <c r="F29" i="6"/>
  <c r="G27" i="6"/>
  <c r="B27" i="6"/>
  <c r="B28" i="6" s="1"/>
  <c r="B31" i="6" l="1"/>
  <c r="E30" i="6"/>
  <c r="G28" i="6"/>
  <c r="G30" i="6"/>
  <c r="D27" i="6"/>
  <c r="D28" i="6" s="1"/>
  <c r="E28" i="6"/>
  <c r="F30" i="6"/>
  <c r="F28" i="6"/>
  <c r="D29" i="6"/>
  <c r="D30" i="6" s="1"/>
  <c r="C27" i="6"/>
  <c r="C29" i="6"/>
  <c r="G31" i="6" l="1"/>
  <c r="F31" i="6"/>
  <c r="E31" i="6"/>
  <c r="D31" i="6"/>
  <c r="C30" i="6"/>
  <c r="C28" i="6"/>
  <c r="C31" i="6" l="1"/>
</calcChain>
</file>

<file path=xl/sharedStrings.xml><?xml version="1.0" encoding="utf-8"?>
<sst xmlns="http://schemas.openxmlformats.org/spreadsheetml/2006/main" count="227" uniqueCount="62">
  <si>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</si>
  <si>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</si>
  <si>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</si>
  <si>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</si>
  <si>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</si>
  <si>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</si>
  <si>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</si>
  <si>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</si>
  <si>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</si>
  <si>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</si>
  <si>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</si>
  <si>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</si>
  <si>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</si>
  <si>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</si>
  <si>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</si>
  <si>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</si>
  <si>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</si>
  <si>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</si>
  <si>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</si>
  <si>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</si>
  <si>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</si>
  <si>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</si>
  <si>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</si>
  <si>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</si>
  <si>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</si>
  <si>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</si>
  <si>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</si>
  <si>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</si>
  <si>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</si>
  <si>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</si>
  <si>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</si>
  <si>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</si>
  <si>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</si>
  <si>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</si>
  <si>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</si>
  <si>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</si>
  <si>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Carbon Composite</t>
  </si>
  <si>
    <t>Silicon</t>
  </si>
  <si>
    <t>Flight computer</t>
  </si>
  <si>
    <t>cockpit</t>
  </si>
  <si>
    <t>Attitude control</t>
  </si>
  <si>
    <t>Quadcopter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</si>
  <si>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</si>
  <si>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</si>
  <si>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</si>
  <si>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</si>
  <si>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</si>
  <si>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</si>
  <si>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</si>
  <si>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</si>
  <si>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</si>
  <si>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</si>
  <si>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</si>
  <si>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</si>
  <si>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</si>
  <si>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</si>
  <si>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</si>
  <si>
    <t>Bulldozer</t>
  </si>
  <si>
    <t>Diesel</t>
  </si>
  <si>
    <t>Windows</t>
  </si>
  <si>
    <t>Steel beams</t>
  </si>
  <si>
    <t>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</si>
</sst>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44" fontId="2" fillId="0" borderId="3" xfId="1" applyFont="1" applyBorder="1"/>
    <xf numFmtId="44" fontId="2" fillId="0" borderId="0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16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934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179917</xdr:colOff>
      <xdr:row>28</xdr:row>
      <xdr:rowOff>10582</xdr:rowOff>
    </xdr:from>
    <xdr:to>
      <xdr:col>11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7</xdr:col>
      <xdr:colOff>211667</xdr:colOff>
      <xdr:row>25</xdr:row>
      <xdr:rowOff>84667</xdr:rowOff>
    </xdr:from>
    <xdr:to>
      <xdr:col>7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179917</xdr:colOff>
      <xdr:row>28</xdr:row>
      <xdr:rowOff>10582</xdr:rowOff>
    </xdr:from>
    <xdr:to>
      <xdr:col>11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7</xdr:col>
      <xdr:colOff>211667</xdr:colOff>
      <xdr:row>25</xdr:row>
      <xdr:rowOff>84667</xdr:rowOff>
    </xdr:from>
    <xdr:to>
      <xdr:col>7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55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46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197492.59047796211</v>
      </c>
    </row>
    <row r="29" spans="1:2" x14ac:dyDescent="0.25">
      <c r="A29" s="5" t="s">
        <v>48</v>
      </c>
      <c r="B29" s="33">
        <f t="shared" ref="B29" si="2">OBL(B24,B22,B23,B19,$B$25,$B$26,1)</f>
        <v>72.71157197741222</v>
      </c>
    </row>
    <row r="30" spans="1:2" x14ac:dyDescent="0.25">
      <c r="A30" s="7" t="s">
        <v>49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50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zoomScale="90" zoomScaleNormal="90" workbookViewId="0">
      <selection activeCell="E34" sqref="E34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55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56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46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118748.579972461</v>
      </c>
    </row>
    <row r="29" spans="1:2" x14ac:dyDescent="0.25">
      <c r="A29" s="5" t="s">
        <v>48</v>
      </c>
      <c r="B29" s="33">
        <f t="shared" ref="B29" si="2">OBL(B24,B22,B23,B19,$B$25,$B$26,1)</f>
        <v>62.280843241249237</v>
      </c>
    </row>
    <row r="30" spans="1:2" x14ac:dyDescent="0.25">
      <c r="A30" s="7" t="s">
        <v>49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50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F31"/>
  <sheetViews>
    <sheetView showGridLines="0" zoomScale="90" zoomScaleNormal="90" workbookViewId="0">
      <selection activeCell="C26" sqref="C26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57</v>
      </c>
      <c r="B4" s="14">
        <v>2170</v>
      </c>
      <c r="E4" s="17" t="s">
        <v>18</v>
      </c>
      <c r="F4" s="17"/>
    </row>
    <row r="5" spans="1:6" x14ac:dyDescent="0.25">
      <c r="A5" s="2" t="s">
        <v>58</v>
      </c>
      <c r="B5" s="3">
        <v>39</v>
      </c>
      <c r="E5" s="18" t="s">
        <v>15</v>
      </c>
      <c r="F5" s="18"/>
    </row>
    <row r="6" spans="1:6" x14ac:dyDescent="0.25">
      <c r="A6" s="2" t="s">
        <v>59</v>
      </c>
      <c r="B6" s="3">
        <v>103</v>
      </c>
      <c r="E6" s="15" t="s">
        <v>16</v>
      </c>
      <c r="F6" s="15"/>
    </row>
    <row r="7" spans="1:6" x14ac:dyDescent="0.25">
      <c r="A7" s="2" t="s">
        <v>60</v>
      </c>
      <c r="B7" s="3">
        <v>19.100000000000001</v>
      </c>
    </row>
    <row r="8" spans="1:6" x14ac:dyDescent="0.25">
      <c r="A8" s="2" t="s">
        <v>61</v>
      </c>
      <c r="B8" s="3">
        <v>189</v>
      </c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56</v>
      </c>
    </row>
    <row r="19" spans="1:2" x14ac:dyDescent="0.25">
      <c r="A19" s="6" t="s">
        <v>2</v>
      </c>
      <c r="B19" s="20">
        <v>0.99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0.125*B4+5*B5+4*B6+8*B7+4*B8</f>
        <v>1787.05</v>
      </c>
    </row>
    <row r="22" spans="1:2" ht="14.25" customHeight="1" x14ac:dyDescent="0.25">
      <c r="A22" s="5" t="s">
        <v>11</v>
      </c>
      <c r="B22" s="22">
        <f>B21</f>
        <v>1787.05</v>
      </c>
    </row>
    <row r="23" spans="1:2" ht="14.25" customHeight="1" x14ac:dyDescent="0.25">
      <c r="A23" s="7" t="s">
        <v>3</v>
      </c>
      <c r="B23" s="23">
        <f>B20/B19</f>
        <v>348.4848484848485</v>
      </c>
    </row>
    <row r="24" spans="1:2" x14ac:dyDescent="0.25">
      <c r="A24" s="10" t="s">
        <v>22</v>
      </c>
      <c r="B24" s="24">
        <v>2500</v>
      </c>
    </row>
    <row r="25" spans="1:2" x14ac:dyDescent="0.25">
      <c r="A25" s="10" t="s">
        <v>12</v>
      </c>
      <c r="B25" s="50">
        <v>0</v>
      </c>
    </row>
    <row r="26" spans="1:2" x14ac:dyDescent="0.25">
      <c r="A26" s="10" t="s">
        <v>13</v>
      </c>
      <c r="B26" s="51">
        <v>0</v>
      </c>
    </row>
    <row r="27" spans="1:2" x14ac:dyDescent="0.25">
      <c r="A27" s="5" t="s">
        <v>46</v>
      </c>
      <c r="B27" s="29">
        <f t="shared" ref="B27" si="0">OBL(B24,B22,B23,B19,$B$25,$B$26,0)</f>
        <v>88.897828542306584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384913.95852774126</v>
      </c>
    </row>
    <row r="29" spans="1:2" x14ac:dyDescent="0.25">
      <c r="A29" s="5" t="s">
        <v>48</v>
      </c>
      <c r="B29" s="33">
        <f t="shared" ref="B29" si="2">OBL(B24,B22,B23,B19,$B$25,$B$26,1)</f>
        <v>94.276111899285141</v>
      </c>
    </row>
    <row r="30" spans="1:2" x14ac:dyDescent="0.25">
      <c r="A30" s="7" t="s">
        <v>49</v>
      </c>
      <c r="B30" s="35">
        <f t="shared" ref="B30" si="3">Profit(B29,B24,B22,B23,B19,$B$25,$B$26,1)*24</f>
        <v>419910.1917745127</v>
      </c>
    </row>
    <row r="31" spans="1:2" x14ac:dyDescent="0.25">
      <c r="A31" s="45" t="s">
        <v>50</v>
      </c>
      <c r="B31" s="38">
        <f>B30/B28-1</f>
        <v>9.0919626247457197E-2</v>
      </c>
    </row>
  </sheetData>
  <sheetProtection selectLockedCells="1"/>
  <conditionalFormatting sqref="B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H38" sqref="H38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37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51</v>
      </c>
      <c r="B7" s="3">
        <v>126</v>
      </c>
    </row>
    <row r="8" spans="1:12" x14ac:dyDescent="0.25">
      <c r="A8" s="2" t="s">
        <v>45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54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51</v>
      </c>
      <c r="C18" s="26" t="s">
        <v>30</v>
      </c>
      <c r="D18" s="26" t="s">
        <v>20</v>
      </c>
      <c r="E18" s="26" t="s">
        <v>43</v>
      </c>
      <c r="F18" s="26" t="s">
        <v>52</v>
      </c>
      <c r="G18" s="26" t="s">
        <v>53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5" t="s">
        <v>46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47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48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49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50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zoomScale="90" zoomScaleNormal="90" workbookViewId="0">
      <selection activeCell="F9" sqref="F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5100</v>
      </c>
    </row>
    <row r="25" spans="1:7" x14ac:dyDescent="0.25">
      <c r="A25" s="10" t="s">
        <v>12</v>
      </c>
      <c r="B25" s="52">
        <v>0.05</v>
      </c>
      <c r="C25" s="52"/>
      <c r="D25" s="52"/>
      <c r="E25" s="52"/>
      <c r="F25" s="52"/>
      <c r="G25" s="52"/>
    </row>
    <row r="26" spans="1:7" x14ac:dyDescent="0.25">
      <c r="A26" s="10" t="s">
        <v>13</v>
      </c>
      <c r="B26" s="53">
        <v>0.25</v>
      </c>
      <c r="C26" s="53"/>
      <c r="D26" s="53"/>
      <c r="E26" s="53"/>
      <c r="F26" s="53"/>
      <c r="G26" s="53"/>
    </row>
    <row r="27" spans="1:7" x14ac:dyDescent="0.25">
      <c r="A27" s="5" t="s">
        <v>46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109.4374142547445</v>
      </c>
    </row>
    <row r="28" spans="1:7" ht="16.5" customHeight="1" x14ac:dyDescent="0.25">
      <c r="A28" s="7" t="s">
        <v>47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787493.21717162291</v>
      </c>
    </row>
    <row r="29" spans="1:7" x14ac:dyDescent="0.25">
      <c r="A29" s="5" t="s">
        <v>48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116.32723119045825</v>
      </c>
    </row>
    <row r="30" spans="1:7" x14ac:dyDescent="0.25">
      <c r="A30" s="7" t="s">
        <v>49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863077.29574533727</v>
      </c>
    </row>
    <row r="31" spans="1:7" x14ac:dyDescent="0.25">
      <c r="A31" s="45" t="s">
        <v>50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9.5980609007889184E-2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I34"/>
  <sheetViews>
    <sheetView showGridLines="0" zoomScale="90" zoomScaleNormal="90" workbookViewId="0">
      <selection activeCell="J19" sqref="J1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8" max="8" width="27.5703125" bestFit="1" customWidth="1"/>
  </cols>
  <sheetData>
    <row r="2" spans="1:9" x14ac:dyDescent="0.25">
      <c r="A2" s="8" t="s">
        <v>5</v>
      </c>
      <c r="B2" s="12" t="s">
        <v>6</v>
      </c>
      <c r="H2" s="19" t="s">
        <v>14</v>
      </c>
    </row>
    <row r="3" spans="1:9" x14ac:dyDescent="0.25">
      <c r="A3" s="10" t="s">
        <v>9</v>
      </c>
      <c r="B3" s="11" t="s">
        <v>10</v>
      </c>
      <c r="H3" s="16" t="s">
        <v>17</v>
      </c>
      <c r="I3" s="16"/>
    </row>
    <row r="4" spans="1:9" x14ac:dyDescent="0.25">
      <c r="A4" s="1" t="s">
        <v>36</v>
      </c>
      <c r="B4" s="14">
        <v>69.5</v>
      </c>
      <c r="H4" s="17" t="s">
        <v>18</v>
      </c>
      <c r="I4" s="17"/>
    </row>
    <row r="5" spans="1:9" x14ac:dyDescent="0.25">
      <c r="A5" s="2" t="s">
        <v>21</v>
      </c>
      <c r="B5" s="3">
        <v>19.899999999999999</v>
      </c>
      <c r="H5" s="18" t="s">
        <v>15</v>
      </c>
      <c r="I5" s="18"/>
    </row>
    <row r="6" spans="1:9" x14ac:dyDescent="0.25">
      <c r="A6" s="2" t="s">
        <v>31</v>
      </c>
      <c r="B6" s="3">
        <v>34.75</v>
      </c>
      <c r="H6" s="15" t="s">
        <v>16</v>
      </c>
      <c r="I6" s="15"/>
    </row>
    <row r="7" spans="1:9" x14ac:dyDescent="0.25">
      <c r="A7" s="2" t="s">
        <v>37</v>
      </c>
      <c r="B7" s="3">
        <v>8</v>
      </c>
    </row>
    <row r="8" spans="1:9" x14ac:dyDescent="0.25">
      <c r="A8" s="2" t="s">
        <v>7</v>
      </c>
      <c r="B8" s="3">
        <v>11.3</v>
      </c>
    </row>
    <row r="9" spans="1:9" x14ac:dyDescent="0.25">
      <c r="A9" s="2"/>
      <c r="B9" s="3"/>
    </row>
    <row r="10" spans="1:9" x14ac:dyDescent="0.25">
      <c r="A10" s="2"/>
      <c r="B10" s="3"/>
    </row>
    <row r="11" spans="1:9" x14ac:dyDescent="0.25">
      <c r="A11" s="2"/>
      <c r="B11" s="3"/>
    </row>
    <row r="12" spans="1:9" x14ac:dyDescent="0.25">
      <c r="A12" s="2"/>
      <c r="B12" s="3"/>
    </row>
    <row r="13" spans="1:9" x14ac:dyDescent="0.25">
      <c r="A13" s="2"/>
      <c r="B13" s="3"/>
    </row>
    <row r="14" spans="1:9" x14ac:dyDescent="0.25">
      <c r="A14" s="13"/>
      <c r="B14" s="4"/>
    </row>
    <row r="17" spans="1:5" x14ac:dyDescent="0.25">
      <c r="A17" t="s">
        <v>0</v>
      </c>
    </row>
    <row r="18" spans="1:5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</row>
    <row r="19" spans="1:5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</row>
    <row r="20" spans="1:5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</row>
    <row r="21" spans="1:5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</row>
    <row r="22" spans="1:5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</row>
    <row r="23" spans="1:5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</row>
    <row r="24" spans="1:5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</row>
    <row r="25" spans="1:5" x14ac:dyDescent="0.25">
      <c r="A25" s="10" t="s">
        <v>12</v>
      </c>
      <c r="B25" s="52">
        <v>0.05</v>
      </c>
      <c r="C25" s="52"/>
      <c r="D25" s="52"/>
      <c r="E25" s="52"/>
    </row>
    <row r="26" spans="1:5" x14ac:dyDescent="0.25">
      <c r="A26" s="10" t="s">
        <v>13</v>
      </c>
      <c r="B26" s="53">
        <v>0.25</v>
      </c>
      <c r="C26" s="53"/>
      <c r="D26" s="53"/>
      <c r="E26" s="53"/>
    </row>
    <row r="27" spans="1:5" x14ac:dyDescent="0.25">
      <c r="A27" s="8" t="s">
        <v>46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</row>
    <row r="28" spans="1:5" ht="16.5" customHeight="1" x14ac:dyDescent="0.25">
      <c r="A28" s="9" t="s">
        <v>47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</row>
    <row r="29" spans="1:5" x14ac:dyDescent="0.25">
      <c r="A29" s="8" t="s">
        <v>48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</row>
    <row r="30" spans="1:5" x14ac:dyDescent="0.25">
      <c r="A30" s="9" t="s">
        <v>49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</row>
    <row r="31" spans="1:5" x14ac:dyDescent="0.25">
      <c r="A31" s="37" t="s">
        <v>50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</row>
    <row r="34" spans="3:3" x14ac:dyDescent="0.25">
      <c r="C34" s="27"/>
    </row>
  </sheetData>
  <sheetProtection selectLockedCells="1"/>
  <mergeCells count="2">
    <mergeCell ref="B25:E25"/>
    <mergeCell ref="B26:E26"/>
  </mergeCells>
  <conditionalFormatting sqref="B27:E27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E28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E29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E30"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I34"/>
  <sheetViews>
    <sheetView showGridLines="0" tabSelected="1" zoomScale="90" zoomScaleNormal="90" workbookViewId="0">
      <selection activeCell="H21" sqref="H21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8" max="8" width="27.5703125" bestFit="1" customWidth="1"/>
  </cols>
  <sheetData>
    <row r="2" spans="1:9" x14ac:dyDescent="0.25">
      <c r="A2" s="8" t="s">
        <v>5</v>
      </c>
      <c r="B2" s="12" t="s">
        <v>6</v>
      </c>
      <c r="H2" s="19" t="s">
        <v>14</v>
      </c>
    </row>
    <row r="3" spans="1:9" x14ac:dyDescent="0.25">
      <c r="A3" s="10" t="s">
        <v>9</v>
      </c>
      <c r="B3" s="11" t="s">
        <v>10</v>
      </c>
      <c r="H3" s="16" t="s">
        <v>17</v>
      </c>
      <c r="I3" s="16"/>
    </row>
    <row r="4" spans="1:9" x14ac:dyDescent="0.25">
      <c r="A4" s="1" t="s">
        <v>8</v>
      </c>
      <c r="B4" s="14">
        <v>875</v>
      </c>
      <c r="H4" s="17" t="s">
        <v>18</v>
      </c>
      <c r="I4" s="17"/>
    </row>
    <row r="5" spans="1:9" x14ac:dyDescent="0.25">
      <c r="A5" s="2" t="s">
        <v>42</v>
      </c>
      <c r="B5" s="3">
        <v>456</v>
      </c>
      <c r="H5" s="18" t="s">
        <v>15</v>
      </c>
      <c r="I5" s="18"/>
    </row>
    <row r="6" spans="1:9" x14ac:dyDescent="0.25">
      <c r="A6" s="2" t="s">
        <v>43</v>
      </c>
      <c r="B6" s="3">
        <v>119</v>
      </c>
      <c r="H6" s="15" t="s">
        <v>16</v>
      </c>
      <c r="I6" s="15"/>
    </row>
    <row r="7" spans="1:9" x14ac:dyDescent="0.25">
      <c r="A7" s="2" t="s">
        <v>44</v>
      </c>
      <c r="B7" s="3">
        <v>310</v>
      </c>
    </row>
    <row r="8" spans="1:9" x14ac:dyDescent="0.25">
      <c r="A8" s="2" t="s">
        <v>7</v>
      </c>
      <c r="B8" s="3">
        <v>10.8</v>
      </c>
    </row>
    <row r="9" spans="1:9" x14ac:dyDescent="0.25">
      <c r="A9" s="2" t="s">
        <v>20</v>
      </c>
      <c r="B9" s="3">
        <v>86.8</v>
      </c>
    </row>
    <row r="10" spans="1:9" x14ac:dyDescent="0.25">
      <c r="A10" s="2" t="s">
        <v>24</v>
      </c>
      <c r="B10" s="3">
        <v>230</v>
      </c>
    </row>
    <row r="11" spans="1:9" x14ac:dyDescent="0.25">
      <c r="A11" s="2" t="s">
        <v>30</v>
      </c>
      <c r="B11" s="3">
        <v>55.3</v>
      </c>
    </row>
    <row r="12" spans="1:9" x14ac:dyDescent="0.25">
      <c r="A12" s="2" t="s">
        <v>45</v>
      </c>
      <c r="B12" s="3">
        <v>11.5</v>
      </c>
    </row>
    <row r="13" spans="1:9" x14ac:dyDescent="0.25">
      <c r="A13" s="2" t="s">
        <v>28</v>
      </c>
      <c r="B13" s="3">
        <v>11550</v>
      </c>
    </row>
    <row r="14" spans="1:9" x14ac:dyDescent="0.25">
      <c r="A14" s="13"/>
      <c r="B14" s="4"/>
    </row>
    <row r="17" spans="1:5" x14ac:dyDescent="0.25">
      <c r="A17" t="s">
        <v>0</v>
      </c>
    </row>
    <row r="18" spans="1:5" x14ac:dyDescent="0.25">
      <c r="A18" s="5" t="s">
        <v>1</v>
      </c>
      <c r="B18" s="26" t="s">
        <v>38</v>
      </c>
      <c r="C18" s="26" t="s">
        <v>39</v>
      </c>
      <c r="D18" s="26" t="s">
        <v>40</v>
      </c>
      <c r="E18" s="26" t="s">
        <v>41</v>
      </c>
    </row>
    <row r="19" spans="1:5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</row>
    <row r="20" spans="1:5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</row>
    <row r="21" spans="1:5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</row>
    <row r="22" spans="1:5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</row>
    <row r="23" spans="1:5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</row>
    <row r="24" spans="1:5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</row>
    <row r="25" spans="1:5" x14ac:dyDescent="0.25">
      <c r="A25" s="10" t="s">
        <v>12</v>
      </c>
      <c r="B25" s="52">
        <v>0.05</v>
      </c>
      <c r="C25" s="52"/>
      <c r="D25" s="52"/>
      <c r="E25" s="52"/>
    </row>
    <row r="26" spans="1:5" x14ac:dyDescent="0.25">
      <c r="A26" s="10" t="s">
        <v>13</v>
      </c>
      <c r="B26" s="53">
        <v>0.25</v>
      </c>
      <c r="C26" s="53"/>
      <c r="D26" s="53"/>
      <c r="E26" s="53"/>
    </row>
    <row r="27" spans="1:5" x14ac:dyDescent="0.25">
      <c r="A27" s="8" t="s">
        <v>46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</row>
    <row r="28" spans="1:5" ht="16.5" customHeight="1" x14ac:dyDescent="0.25">
      <c r="A28" s="9" t="s">
        <v>47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</row>
    <row r="29" spans="1:5" x14ac:dyDescent="0.25">
      <c r="A29" t="s">
        <v>48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</row>
    <row r="30" spans="1:5" x14ac:dyDescent="0.25">
      <c r="A30" t="s">
        <v>49</v>
      </c>
      <c r="B30" s="48">
        <f>Profit(B29,B24,B22,B23,B19,$B$25,$B$26,1)*24</f>
        <v>1463939.1537817232</v>
      </c>
      <c r="C30" s="49">
        <f>Profit(C29,C24,C22,C23,C19,$B$25,$B$26,1)*24</f>
        <v>1549459.1156436088</v>
      </c>
      <c r="D30" s="49">
        <f>Profit(D29,D24,D22,D23,D19,$B$25,$B$26,1)*24</f>
        <v>2026186.7175013185</v>
      </c>
      <c r="E30" s="49">
        <f>Profit(E29,E24,E22,E23,E19,$B$25,$B$26,1)*24</f>
        <v>1922263.0715684413</v>
      </c>
    </row>
    <row r="31" spans="1:5" x14ac:dyDescent="0.25">
      <c r="A31" s="37" t="s">
        <v>50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</row>
    <row r="34" spans="3:3" x14ac:dyDescent="0.25">
      <c r="C34" s="27"/>
    </row>
  </sheetData>
  <sheetProtection selectLockedCells="1"/>
  <mergeCells count="2">
    <mergeCell ref="B25:E25"/>
    <mergeCell ref="B26:E26"/>
  </mergeCells>
  <conditionalFormatting sqref="B27:E27">
    <cfRule type="colorScale" priority="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E28">
    <cfRule type="colorScale" priority="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E29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E30">
    <cfRule type="colorScale" priority="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Power plant Q3</vt:lpstr>
      <vt:lpstr>Water Reservoir Q3</vt:lpstr>
      <vt:lpstr>General Contractor Q0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2021-08-21T00:53:27Z</dcterms:modified>
</cp:coreProperties>
</file>