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3"/>
  </bookViews>
  <sheets>
    <sheet name="SEP-Win-Coc-CE" sheetId="17" r:id="rId1"/>
    <sheet name="Jum-Win-Coc-JE" sheetId="15" r:id="rId2"/>
    <sheet name="Lux-Win-Coc-JE" sheetId="16" r:id="rId3"/>
    <sheet name="SAT-Ion-FC-AtC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3" l="1"/>
  <c r="C19" i="3"/>
  <c r="E19" i="3"/>
  <c r="D19" i="3"/>
  <c r="B22" i="17" l="1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E35" i="15"/>
  <c r="F35" i="15"/>
  <c r="G35" i="15"/>
  <c r="D35" i="15"/>
  <c r="B25" i="17" l="1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E28" i="16"/>
  <c r="D28" i="16"/>
  <c r="C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E29" i="17" l="1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C29" i="15"/>
  <c r="K29" i="15"/>
  <c r="B44" i="15"/>
  <c r="B41" i="15"/>
  <c r="G29" i="15"/>
  <c r="J29" i="15"/>
  <c r="B29" i="15"/>
  <c r="B50" i="17"/>
  <c r="B45" i="17"/>
  <c r="B48" i="17"/>
  <c r="B49" i="17"/>
  <c r="B51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B33" i="16" l="1"/>
  <c r="B42" i="16"/>
  <c r="B33" i="15"/>
  <c r="B42" i="15"/>
  <c r="B50" i="15"/>
  <c r="B48" i="15"/>
  <c r="B45" i="15"/>
  <c r="B50" i="16"/>
  <c r="B49" i="15"/>
  <c r="B48" i="16"/>
  <c r="B49" i="16"/>
  <c r="B45" i="16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B51" i="16"/>
  <c r="B51" i="15"/>
  <c r="L27" i="3" l="1"/>
  <c r="K27" i="3"/>
  <c r="J27" i="3"/>
  <c r="I27" i="3"/>
  <c r="H27" i="3"/>
  <c r="G27" i="3"/>
  <c r="F27" i="3"/>
  <c r="E27" i="3"/>
  <c r="D27" i="3"/>
  <c r="C27" i="3"/>
  <c r="B27" i="3"/>
  <c r="B24" i="3"/>
  <c r="B30" i="3" l="1"/>
  <c r="D28" i="3" s="1"/>
  <c r="K28" i="3" l="1"/>
  <c r="C28" i="3"/>
  <c r="I28" i="3"/>
  <c r="J28" i="3"/>
  <c r="G28" i="3"/>
  <c r="F28" i="3"/>
  <c r="B28" i="3"/>
  <c r="B31" i="3" s="1"/>
  <c r="H28" i="3"/>
  <c r="E28" i="3"/>
  <c r="L28" i="3"/>
  <c r="B41" i="3" l="1"/>
  <c r="B32" i="3"/>
  <c r="B23" i="3" l="1"/>
  <c r="B44" i="3"/>
  <c r="B47" i="3"/>
  <c r="B49" i="3"/>
  <c r="B50" i="3" s="1"/>
  <c r="B48" i="3"/>
  <c r="C29" i="3" l="1"/>
  <c r="E29" i="3"/>
  <c r="H29" i="3"/>
  <c r="G29" i="3"/>
  <c r="K29" i="3"/>
  <c r="L29" i="3"/>
  <c r="I29" i="3"/>
  <c r="F29" i="3"/>
  <c r="B29" i="3"/>
  <c r="J29" i="3"/>
  <c r="D29" i="3"/>
  <c r="B42" i="3"/>
  <c r="B40" i="3" l="1"/>
  <c r="B43" i="3"/>
</calcChain>
</file>

<file path=xl/sharedStrings.xml><?xml version="1.0" encoding="utf-8"?>
<sst xmlns="http://schemas.openxmlformats.org/spreadsheetml/2006/main" count="264" uniqueCount="83">
  <si>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</si>
  <si>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</si>
  <si>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</si>
  <si>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</si>
  <si>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</si>
  <si>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</si>
  <si>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</si>
  <si>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</si>
  <si>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Cockpit</t>
  </si>
  <si>
    <t>Steel</t>
  </si>
  <si>
    <t>HGEC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</si>
  <si>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</si>
  <si>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</si>
  <si>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</si>
  <si>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</si>
  <si>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</si>
  <si>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</si>
  <si>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</si>
  <si>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</si>
  <si>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</si>
  <si>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</si>
  <si>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</si>
  <si>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</si>
  <si>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</si>
  <si>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</si>
  <si>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</si>
  <si>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</si>
  <si>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</si>
  <si>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</si>
  <si>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</si>
  <si>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</si>
  <si>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</si>
  <si>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</si>
  <si>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</si>
  <si>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</si>
  <si>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</si>
  <si>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</si>
  <si>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</si>
  <si>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</si>
  <si>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</si>
  <si>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</si>
  <si>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</si>
  <si>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</si>
  <si>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</si>
  <si>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</si>
  <si>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Satellite</t>
  </si>
  <si>
    <t>Silicon</t>
  </si>
  <si>
    <t>Chemicals</t>
  </si>
  <si>
    <t>Golden bars</t>
  </si>
  <si>
    <t>Batteries</t>
  </si>
  <si>
    <t>Sat-Ion Drive</t>
  </si>
  <si>
    <t>Aluminium</t>
  </si>
  <si>
    <t>It's too expensive to buy Rocket engines :(</t>
  </si>
  <si>
    <t>Total Units daily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</si>
  <si>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</si>
  <si>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</si>
  <si>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</si>
  <si>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</si>
  <si>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</si>
  <si>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</si>
  <si>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</si>
  <si>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</si>
  <si>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</si>
  <si>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</si>
  <si>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</si>
  <si>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</si>
  <si>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</si>
  <si>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</si>
  <si>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</si>
  <si>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</si>
  <si>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</si>
  <si>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</si>
  <si>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</si>
  <si>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</si>
  <si>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</si>
  <si>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</si>
  <si>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 xml:space="preserve">Jumbo </t>
  </si>
  <si>
    <t>On-Board computer</t>
  </si>
  <si>
    <t>Attitude Control</t>
  </si>
  <si>
    <t>Electric motor</t>
  </si>
  <si>
    <t>SAT-Flight computer</t>
  </si>
  <si>
    <t>SAT-Attitude Control</t>
  </si>
  <si>
    <t>2..48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</si>
</sst>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2" borderId="9" xfId="0" applyFill="1" applyBorder="1"/>
    <xf numFmtId="44" fontId="0" fillId="2" borderId="10" xfId="2" applyFont="1" applyFill="1" applyBorder="1"/>
    <xf numFmtId="10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44" fontId="0" fillId="4" borderId="0" xfId="2" applyFont="1" applyFill="1" applyBorder="1"/>
    <xf numFmtId="0" fontId="0" fillId="0" borderId="8" xfId="0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1129393</xdr:colOff>
      <xdr:row>46</xdr:row>
      <xdr:rowOff>0</xdr:rowOff>
    </xdr:from>
    <xdr:to>
      <xdr:col>7</xdr:col>
      <xdr:colOff>127370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93179" y="8722179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181799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7608" y="876300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876300</xdr:colOff>
      <xdr:row>45</xdr:row>
      <xdr:rowOff>104775</xdr:rowOff>
    </xdr:from>
    <xdr:to>
      <xdr:col>7</xdr:col>
      <xdr:colOff>312427</xdr:colOff>
      <xdr:row>48</xdr:row>
      <xdr:rowOff>18989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38725" y="8658225"/>
          <a:ext cx="428435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zoomScale="70" zoomScaleNormal="70" workbookViewId="0">
      <selection activeCell="O38" sqref="O38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9</v>
      </c>
      <c r="B4" s="26">
        <v>11.1</v>
      </c>
      <c r="E4" s="33" t="s">
        <v>43</v>
      </c>
      <c r="F4" s="33"/>
    </row>
    <row r="5" spans="1:6" x14ac:dyDescent="0.25">
      <c r="A5" s="4" t="s">
        <v>70</v>
      </c>
      <c r="B5" s="8">
        <v>63.5</v>
      </c>
      <c r="E5" s="34" t="s">
        <v>40</v>
      </c>
      <c r="F5" s="34"/>
    </row>
    <row r="6" spans="1:6" x14ac:dyDescent="0.25">
      <c r="A6" s="4" t="s">
        <v>51</v>
      </c>
      <c r="B6" s="8">
        <v>18.7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71</v>
      </c>
      <c r="B8" s="8">
        <v>116</v>
      </c>
    </row>
    <row r="9" spans="1:6" x14ac:dyDescent="0.25">
      <c r="A9" s="4" t="s">
        <v>72</v>
      </c>
      <c r="B9" s="8">
        <v>312</v>
      </c>
    </row>
    <row r="10" spans="1:6" x14ac:dyDescent="0.25">
      <c r="A10" s="4" t="s">
        <v>47</v>
      </c>
      <c r="B10" s="8">
        <v>14.6</v>
      </c>
    </row>
    <row r="11" spans="1:6" x14ac:dyDescent="0.25">
      <c r="A11" s="4" t="s">
        <v>74</v>
      </c>
      <c r="B11" s="8">
        <v>54</v>
      </c>
    </row>
    <row r="12" spans="1:6" x14ac:dyDescent="0.25">
      <c r="A12" s="4" t="s">
        <v>7</v>
      </c>
      <c r="B12" s="8">
        <v>2790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75</v>
      </c>
      <c r="C18" s="2" t="s">
        <v>66</v>
      </c>
      <c r="D18" s="2" t="s">
        <v>8</v>
      </c>
      <c r="E18" s="2" t="s">
        <v>73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1.63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68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8*B12</f>
        <v>22320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465.64417177914112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110.89285714285715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32270.1</v>
      </c>
    </row>
    <row r="25" spans="1:13" ht="14.25" customHeight="1" x14ac:dyDescent="0.25">
      <c r="A25" s="13" t="s">
        <v>34</v>
      </c>
      <c r="B25" s="18">
        <f>SUMPRODUCT(B23:L23,B19:L19)</f>
        <v>1042.0930452025652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0.61349693251533743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0.41420160799238043</v>
      </c>
      <c r="C29" s="37">
        <f t="shared" ref="C29:L29" si="2">C28/$B$31</f>
        <v>0.16649781036438474</v>
      </c>
      <c r="D29" s="37">
        <f t="shared" si="2"/>
        <v>0.29873832788830978</v>
      </c>
      <c r="E29" s="37">
        <f t="shared" si="2"/>
        <v>0.12056225375492502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64</v>
      </c>
      <c r="B30" s="42">
        <f>B29*$B$48</f>
        <v>70.462509821468302</v>
      </c>
      <c r="C30" s="43">
        <f t="shared" ref="C30:L30" si="3">C29*$B$48</f>
        <v>28.32401751146568</v>
      </c>
      <c r="D30" s="43">
        <f t="shared" si="3"/>
        <v>50.820305756191743</v>
      </c>
      <c r="E30" s="43">
        <f t="shared" si="3"/>
        <v>20.509623394463095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1.4811553617305686</v>
      </c>
    </row>
    <row r="32" spans="1:13" x14ac:dyDescent="0.25">
      <c r="A32" s="19" t="s">
        <v>35</v>
      </c>
      <c r="B32" s="49">
        <f>B29</f>
        <v>0.41420160799238043</v>
      </c>
    </row>
    <row r="33" spans="1:5" x14ac:dyDescent="0.25">
      <c r="A33" s="21" t="s">
        <v>59</v>
      </c>
      <c r="B33" s="47">
        <f>B32*B20</f>
        <v>0.67514862102758</v>
      </c>
    </row>
    <row r="36" spans="1:5" x14ac:dyDescent="0.25">
      <c r="A36" s="19" t="s">
        <v>13</v>
      </c>
      <c r="B36" s="44">
        <v>75</v>
      </c>
      <c r="E36" s="46"/>
    </row>
    <row r="37" spans="1:5" x14ac:dyDescent="0.25">
      <c r="A37" s="22" t="s">
        <v>57</v>
      </c>
      <c r="B37" s="45">
        <v>34500</v>
      </c>
    </row>
    <row r="38" spans="1:5" x14ac:dyDescent="0.25">
      <c r="A38" s="22" t="s">
        <v>32</v>
      </c>
      <c r="B38" s="50">
        <v>7.0000000000000007E-2</v>
      </c>
    </row>
    <row r="39" spans="1:5" x14ac:dyDescent="0.25">
      <c r="A39" s="22" t="s">
        <v>33</v>
      </c>
      <c r="B39" s="50">
        <v>0.35</v>
      </c>
    </row>
    <row r="40" spans="1:5" x14ac:dyDescent="0.25">
      <c r="A40" s="21" t="s">
        <v>58</v>
      </c>
      <c r="B40" s="51">
        <v>1</v>
      </c>
    </row>
    <row r="41" spans="1:5" x14ac:dyDescent="0.25">
      <c r="A41" s="22" t="s">
        <v>38</v>
      </c>
      <c r="B41" s="52">
        <f>B37-B43</f>
        <v>976.6957469045592</v>
      </c>
    </row>
    <row r="42" spans="1:5" x14ac:dyDescent="0.25">
      <c r="A42" s="22" t="s">
        <v>53</v>
      </c>
      <c r="B42" s="53">
        <f>B36*B32*B20*24</f>
        <v>1215.267517849644</v>
      </c>
    </row>
    <row r="43" spans="1:5" x14ac:dyDescent="0.25">
      <c r="A43" s="22" t="s">
        <v>37</v>
      </c>
      <c r="B43" s="52">
        <f>B24+B25*(1+B36/170*(1-B39))/(1+B38)</f>
        <v>33523.304253095441</v>
      </c>
    </row>
    <row r="44" spans="1:5" x14ac:dyDescent="0.25">
      <c r="A44" s="21" t="s">
        <v>44</v>
      </c>
      <c r="B44" s="54">
        <f>B43-B24-B25</f>
        <v>211.11120789287702</v>
      </c>
    </row>
    <row r="45" spans="1:5" x14ac:dyDescent="0.25">
      <c r="A45" s="21" t="s">
        <v>20</v>
      </c>
      <c r="B45" s="55">
        <f>Profit(B36,B37,B24,B25,B33,B38,B39,B40)*24</f>
        <v>1333198.6547326227</v>
      </c>
    </row>
    <row r="46" spans="1:5" ht="16.5" customHeight="1" x14ac:dyDescent="0.25"/>
    <row r="48" spans="1:5" x14ac:dyDescent="0.25">
      <c r="A48" s="19" t="s">
        <v>60</v>
      </c>
      <c r="B48" s="56">
        <f>OBL(B37,B24,B25,B33,B38,B39,0)</f>
        <v>170.11645648358882</v>
      </c>
    </row>
    <row r="49" spans="1:2" x14ac:dyDescent="0.25">
      <c r="A49" s="21" t="s">
        <v>61</v>
      </c>
      <c r="B49" s="55">
        <f>Profit(B48,B37,B24,B25,B33,B38,B39,0)*24</f>
        <v>1868418.6609902701</v>
      </c>
    </row>
    <row r="50" spans="1:2" x14ac:dyDescent="0.25">
      <c r="A50" s="19" t="s">
        <v>62</v>
      </c>
      <c r="B50" s="56">
        <f>OBL(B37,B24,B25,B33,B38,B39,1)</f>
        <v>179.42219938831522</v>
      </c>
    </row>
    <row r="51" spans="1:2" x14ac:dyDescent="0.25">
      <c r="A51" s="21" t="s">
        <v>63</v>
      </c>
      <c r="B51" s="55">
        <f>Profit(B50,B37,B24,B25,B33,B38,B39,1)*24</f>
        <v>2016070.0915508065</v>
      </c>
    </row>
    <row r="54" spans="1:2" x14ac:dyDescent="0.25">
      <c r="A54" t="s">
        <v>52</v>
      </c>
    </row>
    <row r="55" spans="1:2" x14ac:dyDescent="0.25">
      <c r="A55" t="s">
        <v>54</v>
      </c>
    </row>
    <row r="56" spans="1:2" x14ac:dyDescent="0.25">
      <c r="A56" t="s">
        <v>55</v>
      </c>
    </row>
    <row r="57" spans="1:2" x14ac:dyDescent="0.25">
      <c r="A57" t="s">
        <v>56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zoomScale="70" zoomScaleNormal="70" workbookViewId="0">
      <selection activeCell="E42" sqref="E4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69</v>
      </c>
      <c r="B4" s="26">
        <v>6350</v>
      </c>
      <c r="E4" s="33" t="s">
        <v>43</v>
      </c>
      <c r="F4" s="33"/>
    </row>
    <row r="5" spans="1:6" x14ac:dyDescent="0.25">
      <c r="A5" s="4" t="s">
        <v>70</v>
      </c>
      <c r="B5" s="8">
        <v>71</v>
      </c>
      <c r="E5" s="34" t="s">
        <v>40</v>
      </c>
      <c r="F5" s="34"/>
    </row>
    <row r="6" spans="1:6" x14ac:dyDescent="0.25">
      <c r="A6" s="4" t="s">
        <v>51</v>
      </c>
      <c r="B6" s="8">
        <v>19.899999999999999</v>
      </c>
      <c r="E6" s="31" t="s">
        <v>41</v>
      </c>
      <c r="F6" s="31"/>
    </row>
    <row r="7" spans="1:6" x14ac:dyDescent="0.25">
      <c r="A7" s="4" t="s">
        <v>10</v>
      </c>
      <c r="B7" s="8">
        <v>935</v>
      </c>
    </row>
    <row r="8" spans="1:6" x14ac:dyDescent="0.25">
      <c r="A8" s="4" t="s">
        <v>71</v>
      </c>
      <c r="B8" s="8">
        <v>125</v>
      </c>
    </row>
    <row r="9" spans="1:6" x14ac:dyDescent="0.25">
      <c r="A9" s="4" t="s">
        <v>72</v>
      </c>
      <c r="B9" s="8">
        <v>318</v>
      </c>
    </row>
    <row r="10" spans="1:6" x14ac:dyDescent="0.25">
      <c r="A10" s="4" t="s">
        <v>7</v>
      </c>
      <c r="B10" s="8">
        <v>3180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76</v>
      </c>
      <c r="C18" s="2" t="s">
        <v>66</v>
      </c>
      <c r="D18" s="2" t="s">
        <v>8</v>
      </c>
      <c r="E18" s="2" t="s">
        <v>67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68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140*B9+40*B10</f>
        <v>171720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4464.7058823529405</v>
      </c>
      <c r="C23" s="57">
        <f>IF(C19&gt;0,C21/C20,)</f>
        <v>72.379778051787923</v>
      </c>
      <c r="D23" s="57">
        <f>IF(D19&gt;0,D21/D20,)</f>
        <v>320.79646017699116</v>
      </c>
      <c r="E23" s="57">
        <f>IF(E19&gt;0,E21/E20,)</f>
        <v>705.68181818181813</v>
      </c>
      <c r="F23" s="57">
        <f>IF(F19&gt;0,F21/F20,)</f>
        <v>0</v>
      </c>
      <c r="G23" s="57">
        <f t="shared" ref="G23:L23" si="0">IF(G19&gt;0,G21/G20,)</f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219489</v>
      </c>
    </row>
    <row r="25" spans="1:13" ht="14.25" customHeight="1" x14ac:dyDescent="0.25">
      <c r="A25" s="13" t="s">
        <v>34</v>
      </c>
      <c r="B25" s="18">
        <f>SUMPRODUCT(B23:L23,B19:L19)</f>
        <v>8652.8238559520742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5.8823529411764701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0.46886996335590769</v>
      </c>
      <c r="C29" s="37">
        <f t="shared" ref="C29:L29" si="2">C28/$B$31</f>
        <v>9.828346950740359E-2</v>
      </c>
      <c r="D29" s="37">
        <f t="shared" si="2"/>
        <v>7.0537959088941865E-2</v>
      </c>
      <c r="E29" s="37">
        <f t="shared" si="2"/>
        <v>0.36230860804774689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64</v>
      </c>
      <c r="B30" s="42">
        <f>B29*$B$48</f>
        <v>79.727777785183378</v>
      </c>
      <c r="C30" s="43">
        <f t="shared" ref="C30:L30" si="3">C29*$B$48</f>
        <v>16.712357858793062</v>
      </c>
      <c r="D30" s="43">
        <f t="shared" si="3"/>
        <v>11.99444444555856</v>
      </c>
      <c r="E30" s="43">
        <f t="shared" si="3"/>
        <v>61.607828288550792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12.545808861531444</v>
      </c>
    </row>
    <row r="32" spans="1:13" x14ac:dyDescent="0.25">
      <c r="A32" s="19" t="s">
        <v>35</v>
      </c>
      <c r="B32" s="49">
        <f>B29</f>
        <v>0.46886996335590769</v>
      </c>
    </row>
    <row r="33" spans="1:7" x14ac:dyDescent="0.25">
      <c r="A33" s="21" t="s">
        <v>59</v>
      </c>
      <c r="B33" s="47">
        <f>B32*B20</f>
        <v>7.9707893770504315E-2</v>
      </c>
    </row>
    <row r="35" spans="1:7" x14ac:dyDescent="0.25">
      <c r="D35">
        <f>B29*8</f>
        <v>3.7509597068472615</v>
      </c>
      <c r="E35">
        <f t="shared" ref="E35:G35" si="4">C29*8</f>
        <v>0.78626775605922872</v>
      </c>
      <c r="F35">
        <f t="shared" si="4"/>
        <v>0.56430367271153492</v>
      </c>
      <c r="G35">
        <f t="shared" si="4"/>
        <v>2.8984688643819752</v>
      </c>
    </row>
    <row r="36" spans="1:7" x14ac:dyDescent="0.25">
      <c r="A36" s="19" t="s">
        <v>13</v>
      </c>
      <c r="B36" s="44">
        <v>80</v>
      </c>
      <c r="E36" s="46"/>
    </row>
    <row r="37" spans="1:7" x14ac:dyDescent="0.25">
      <c r="A37" s="22" t="s">
        <v>57</v>
      </c>
      <c r="B37" s="45">
        <v>238000</v>
      </c>
    </row>
    <row r="38" spans="1:7" x14ac:dyDescent="0.25">
      <c r="A38" s="22" t="s">
        <v>32</v>
      </c>
      <c r="B38" s="50">
        <v>7.0000000000000007E-2</v>
      </c>
    </row>
    <row r="39" spans="1:7" x14ac:dyDescent="0.25">
      <c r="A39" s="22" t="s">
        <v>33</v>
      </c>
      <c r="B39" s="50">
        <v>0.35</v>
      </c>
    </row>
    <row r="40" spans="1:7" x14ac:dyDescent="0.25">
      <c r="A40" s="21" t="s">
        <v>58</v>
      </c>
      <c r="B40" s="51">
        <v>0</v>
      </c>
    </row>
    <row r="41" spans="1:7" x14ac:dyDescent="0.25">
      <c r="A41" s="22" t="s">
        <v>38</v>
      </c>
      <c r="B41" s="52">
        <f>B37-B43</f>
        <v>7950.6542274801468</v>
      </c>
    </row>
    <row r="42" spans="1:7" x14ac:dyDescent="0.25">
      <c r="A42" s="22" t="s">
        <v>53</v>
      </c>
      <c r="B42" s="53">
        <f>B36*B32*B20*24</f>
        <v>153.03915603936827</v>
      </c>
    </row>
    <row r="43" spans="1:7" x14ac:dyDescent="0.25">
      <c r="A43" s="22" t="s">
        <v>37</v>
      </c>
      <c r="B43" s="52">
        <f>B24+B25*(1+B36/170*(1-B39))/(1+B38)</f>
        <v>230049.34577251985</v>
      </c>
    </row>
    <row r="44" spans="1:7" x14ac:dyDescent="0.25">
      <c r="A44" s="21" t="s">
        <v>44</v>
      </c>
      <c r="B44" s="54">
        <f>B43-B24-B25</f>
        <v>1907.521916567779</v>
      </c>
    </row>
    <row r="45" spans="1:7" x14ac:dyDescent="0.25">
      <c r="A45" s="21" t="s">
        <v>20</v>
      </c>
      <c r="B45" s="55">
        <f>Profit(B36,B37,B24,B25,B33,B38,B39,B40)*24</f>
        <v>1316860.7764835299</v>
      </c>
    </row>
    <row r="46" spans="1:7" ht="16.5" customHeight="1" x14ac:dyDescent="0.25"/>
    <row r="48" spans="1:7" x14ac:dyDescent="0.25">
      <c r="A48" s="19" t="s">
        <v>60</v>
      </c>
      <c r="B48" s="56">
        <f>OBL(B37,B24,B25,B33,B38,B39,0)</f>
        <v>170.04240837808578</v>
      </c>
    </row>
    <row r="49" spans="1:2" x14ac:dyDescent="0.25">
      <c r="A49" s="21" t="s">
        <v>61</v>
      </c>
      <c r="B49" s="55">
        <f>Profit(B48,B37,B24,B25,B33,B38,B39,0)*24</f>
        <v>1829992.7548491862</v>
      </c>
    </row>
    <row r="50" spans="1:2" x14ac:dyDescent="0.25">
      <c r="A50" s="19" t="s">
        <v>62</v>
      </c>
      <c r="B50" s="56">
        <f>OBL(B37,B24,B25,B33,B38,B39,1)</f>
        <v>179.34586113521928</v>
      </c>
    </row>
    <row r="51" spans="1:2" x14ac:dyDescent="0.25">
      <c r="A51" s="21" t="s">
        <v>63</v>
      </c>
      <c r="B51" s="55">
        <f>Profit(B50,B37,B24,B25,B33,B38,B39,1)*24</f>
        <v>1974646.3512415597</v>
      </c>
    </row>
    <row r="54" spans="1:2" x14ac:dyDescent="0.25">
      <c r="A54" t="s">
        <v>52</v>
      </c>
    </row>
    <row r="55" spans="1:2" x14ac:dyDescent="0.25">
      <c r="A55" t="s">
        <v>54</v>
      </c>
    </row>
    <row r="56" spans="1:2" x14ac:dyDescent="0.25">
      <c r="A56" t="s">
        <v>55</v>
      </c>
    </row>
    <row r="57" spans="1:2" x14ac:dyDescent="0.25">
      <c r="A57" t="s">
        <v>56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zoomScale="70" zoomScaleNormal="70" workbookViewId="0">
      <selection activeCell="F42" sqref="F4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69</v>
      </c>
      <c r="B4" s="26">
        <v>6350</v>
      </c>
      <c r="E4" s="33" t="s">
        <v>43</v>
      </c>
      <c r="F4" s="33"/>
    </row>
    <row r="5" spans="1:6" x14ac:dyDescent="0.25">
      <c r="A5" s="4" t="s">
        <v>70</v>
      </c>
      <c r="B5" s="8">
        <v>71</v>
      </c>
      <c r="E5" s="34" t="s">
        <v>40</v>
      </c>
      <c r="F5" s="34"/>
    </row>
    <row r="6" spans="1:6" x14ac:dyDescent="0.25">
      <c r="A6" s="4" t="s">
        <v>51</v>
      </c>
      <c r="B6" s="8">
        <v>19.899999999999999</v>
      </c>
      <c r="E6" s="31" t="s">
        <v>41</v>
      </c>
      <c r="F6" s="31"/>
    </row>
    <row r="7" spans="1:6" x14ac:dyDescent="0.25">
      <c r="A7" s="4" t="s">
        <v>10</v>
      </c>
      <c r="B7" s="8">
        <v>935</v>
      </c>
    </row>
    <row r="8" spans="1:6" x14ac:dyDescent="0.25">
      <c r="A8" s="4" t="s">
        <v>71</v>
      </c>
      <c r="B8" s="8">
        <v>125</v>
      </c>
    </row>
    <row r="9" spans="1:6" x14ac:dyDescent="0.25">
      <c r="A9" s="4" t="s">
        <v>72</v>
      </c>
      <c r="B9" s="8">
        <v>318</v>
      </c>
    </row>
    <row r="10" spans="1:6" x14ac:dyDescent="0.25">
      <c r="A10" s="4" t="s">
        <v>7</v>
      </c>
      <c r="B10" s="8">
        <v>3130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65</v>
      </c>
      <c r="C18" s="2" t="s">
        <v>66</v>
      </c>
      <c r="D18" s="2" t="s">
        <v>8</v>
      </c>
      <c r="E18" s="2" t="s">
        <v>67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68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2*B4+14*B10</f>
        <v>56520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4464.7058823529405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705.68181818181813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73716</v>
      </c>
    </row>
    <row r="25" spans="1:13" ht="14.25" customHeight="1" x14ac:dyDescent="0.25">
      <c r="A25" s="13" t="s">
        <v>34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5.8823529411764701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2.2727272727272729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64</v>
      </c>
      <c r="B30" s="42">
        <f>B29*$B$48</f>
        <v>35.191604785512375</v>
      </c>
      <c r="C30" s="43">
        <f t="shared" ref="C30:L30" si="3">C29*$B$48</f>
        <v>1.4753570440288792</v>
      </c>
      <c r="D30" s="43">
        <f t="shared" si="3"/>
        <v>2.6471561121845597</v>
      </c>
      <c r="E30" s="43">
        <f t="shared" si="3"/>
        <v>13.596756394402512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8.8441672145475465</v>
      </c>
    </row>
    <row r="32" spans="1:13" x14ac:dyDescent="0.25">
      <c r="A32" s="19" t="s">
        <v>35</v>
      </c>
      <c r="B32" s="49">
        <f>B29</f>
        <v>0.66511100462921335</v>
      </c>
    </row>
    <row r="33" spans="1:2" x14ac:dyDescent="0.25">
      <c r="A33" s="21" t="s">
        <v>59</v>
      </c>
      <c r="B33" s="47">
        <f>B32*B20</f>
        <v>0.11306887078696627</v>
      </c>
    </row>
    <row r="36" spans="1:2" x14ac:dyDescent="0.25">
      <c r="A36" s="19" t="s">
        <v>13</v>
      </c>
      <c r="B36" s="44">
        <v>53</v>
      </c>
    </row>
    <row r="37" spans="1:2" x14ac:dyDescent="0.25">
      <c r="A37" s="22" t="s">
        <v>57</v>
      </c>
      <c r="B37" s="45">
        <v>82000</v>
      </c>
    </row>
    <row r="38" spans="1:2" x14ac:dyDescent="0.25">
      <c r="A38" s="22" t="s">
        <v>32</v>
      </c>
      <c r="B38" s="50">
        <v>7.0000000000000007E-2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58</v>
      </c>
      <c r="B40" s="51">
        <v>0</v>
      </c>
    </row>
    <row r="41" spans="1:2" x14ac:dyDescent="0.25">
      <c r="A41" s="22" t="s">
        <v>38</v>
      </c>
      <c r="B41" s="52">
        <f>B37-B43</f>
        <v>1156.2081328742934</v>
      </c>
    </row>
    <row r="42" spans="1:2" x14ac:dyDescent="0.25">
      <c r="A42" s="22" t="s">
        <v>53</v>
      </c>
      <c r="B42" s="53">
        <f>B36*B32*B20*24</f>
        <v>143.82360364102109</v>
      </c>
    </row>
    <row r="43" spans="1:2" x14ac:dyDescent="0.25">
      <c r="A43" s="22" t="s">
        <v>37</v>
      </c>
      <c r="B43" s="52">
        <f>B24+B25*(1+B36/170*(1-B39))/(1+B38)</f>
        <v>80843.791867125707</v>
      </c>
    </row>
    <row r="44" spans="1:2" x14ac:dyDescent="0.25">
      <c r="A44" s="21" t="s">
        <v>44</v>
      </c>
      <c r="B44" s="54">
        <f>B43-B24-B25</f>
        <v>786.16633212856323</v>
      </c>
    </row>
    <row r="45" spans="1:2" x14ac:dyDescent="0.25">
      <c r="A45" s="21" t="s">
        <v>20</v>
      </c>
      <c r="B45" s="55">
        <f>Profit(B36,B37,B24,B25,B33,B38,B39,B40)*24</f>
        <v>184207.77951521784</v>
      </c>
    </row>
    <row r="46" spans="1:2" ht="16.5" customHeight="1" x14ac:dyDescent="0.25"/>
    <row r="48" spans="1:2" x14ac:dyDescent="0.25">
      <c r="A48" s="19" t="s">
        <v>60</v>
      </c>
      <c r="B48" s="56">
        <f>OBL(B37,B24,B25,B33,B38,B39,0)</f>
        <v>52.91087433612833</v>
      </c>
    </row>
    <row r="49" spans="1:2" x14ac:dyDescent="0.25">
      <c r="A49" s="21" t="s">
        <v>61</v>
      </c>
      <c r="B49" s="55">
        <f>Profit(B48,B37,B24,B25,B33,B38,B39,0)*24</f>
        <v>184208.30218197522</v>
      </c>
    </row>
    <row r="50" spans="1:2" x14ac:dyDescent="0.25">
      <c r="A50" s="19" t="s">
        <v>62</v>
      </c>
      <c r="B50" s="56">
        <f>OBL(B37,B24,B25,B33,B38,B39,1)</f>
        <v>58.591702329077577</v>
      </c>
    </row>
    <row r="51" spans="1:2" x14ac:dyDescent="0.25">
      <c r="A51" s="21" t="s">
        <v>63</v>
      </c>
      <c r="B51" s="55">
        <f>Profit(B50,B37,B24,B25,B33,B38,B39,1)*24</f>
        <v>219110.55056298827</v>
      </c>
    </row>
    <row r="54" spans="1:2" x14ac:dyDescent="0.25">
      <c r="A54" t="s">
        <v>52</v>
      </c>
    </row>
    <row r="55" spans="1:2" x14ac:dyDescent="0.25">
      <c r="A55" t="s">
        <v>54</v>
      </c>
    </row>
    <row r="56" spans="1:2" x14ac:dyDescent="0.25">
      <c r="A56" t="s">
        <v>55</v>
      </c>
    </row>
    <row r="57" spans="1:2" x14ac:dyDescent="0.25">
      <c r="A57" t="s">
        <v>56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abSelected="1" zoomScale="80" zoomScaleNormal="80" workbookViewId="0">
      <selection activeCell="D21" sqref="D2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58" t="s">
        <v>12</v>
      </c>
      <c r="E3" s="32" t="s">
        <v>42</v>
      </c>
      <c r="F3" s="32"/>
    </row>
    <row r="4" spans="1:6" x14ac:dyDescent="0.25">
      <c r="A4" s="1" t="s">
        <v>10</v>
      </c>
      <c r="B4" s="8">
        <v>870</v>
      </c>
      <c r="E4" s="33" t="s">
        <v>43</v>
      </c>
      <c r="F4" s="33"/>
    </row>
    <row r="5" spans="1:6" x14ac:dyDescent="0.25">
      <c r="A5" s="4" t="s">
        <v>46</v>
      </c>
      <c r="B5" s="8">
        <v>7.4</v>
      </c>
      <c r="E5" s="34" t="s">
        <v>40</v>
      </c>
      <c r="F5" s="34"/>
    </row>
    <row r="6" spans="1:6" x14ac:dyDescent="0.25">
      <c r="A6" s="4" t="s">
        <v>47</v>
      </c>
      <c r="B6" s="8">
        <v>14.2</v>
      </c>
      <c r="E6" s="31" t="s">
        <v>41</v>
      </c>
      <c r="F6" s="31"/>
    </row>
    <row r="7" spans="1:6" x14ac:dyDescent="0.25">
      <c r="A7" s="4" t="s">
        <v>48</v>
      </c>
      <c r="B7" s="8">
        <v>6200</v>
      </c>
    </row>
    <row r="8" spans="1:6" x14ac:dyDescent="0.25">
      <c r="A8" s="4" t="s">
        <v>49</v>
      </c>
      <c r="B8" s="8">
        <v>82</v>
      </c>
    </row>
    <row r="9" spans="1:6" x14ac:dyDescent="0.25">
      <c r="A9" s="4" t="s">
        <v>77</v>
      </c>
      <c r="B9" s="8"/>
    </row>
    <row r="10" spans="1:6" x14ac:dyDescent="0.25">
      <c r="A10" s="4" t="s">
        <v>78</v>
      </c>
      <c r="B10" s="8"/>
    </row>
    <row r="11" spans="1:6" x14ac:dyDescent="0.25">
      <c r="A11" s="4" t="s">
        <v>9</v>
      </c>
      <c r="B11" s="8"/>
    </row>
    <row r="12" spans="1:6" x14ac:dyDescent="0.25">
      <c r="A12" s="4" t="s">
        <v>79</v>
      </c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45</v>
      </c>
      <c r="C18" s="2" t="s">
        <v>50</v>
      </c>
      <c r="D18" s="2" t="s">
        <v>80</v>
      </c>
      <c r="E18" s="2" t="s">
        <v>81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f>B19</f>
        <v>1</v>
      </c>
      <c r="D19" s="5">
        <f>4*B19</f>
        <v>4</v>
      </c>
      <c r="E19" s="5">
        <f>2*B19</f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0.12</v>
      </c>
      <c r="C20" s="29">
        <v>0.61</v>
      </c>
      <c r="D20" s="29" t="s">
        <v>82</v>
      </c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3</v>
      </c>
      <c r="B21" s="27">
        <v>6402.57</v>
      </c>
      <c r="C21" s="27">
        <v>1109.5899999999999</v>
      </c>
      <c r="D21" s="27"/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8*B4</f>
        <v>6960</v>
      </c>
      <c r="C22" s="9">
        <v>2673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31</v>
      </c>
      <c r="B23" s="17">
        <f>SUMPRODUCT(B22:L22,B19:L19)</f>
        <v>9633</v>
      </c>
    </row>
    <row r="24" spans="1:13" ht="14.25" customHeight="1" x14ac:dyDescent="0.25">
      <c r="A24" s="13" t="s">
        <v>34</v>
      </c>
      <c r="B24" s="18">
        <f>SUMPRODUCT(B21:L21,B19:L19)</f>
        <v>7512.16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15</v>
      </c>
      <c r="B27" s="40">
        <f>B19/B20</f>
        <v>8.3333333333333339</v>
      </c>
      <c r="C27" s="20">
        <f>IF(C19&gt;0,1/C20*C19,)</f>
        <v>1.639344262295082</v>
      </c>
      <c r="D27" s="20" t="e">
        <f t="shared" ref="D27:L27" si="0">IF(D19&gt;0,1/D20*D19,)</f>
        <v>#VALUE!</v>
      </c>
      <c r="E27" s="20" t="e">
        <f t="shared" si="0"/>
        <v>#DIV/0!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18</v>
      </c>
    </row>
    <row r="28" spans="1:13" x14ac:dyDescent="0.25">
      <c r="A28" s="22" t="s">
        <v>19</v>
      </c>
      <c r="B28" s="41" t="e">
        <f>B27/$B$30</f>
        <v>#VALUE!</v>
      </c>
      <c r="C28" s="37" t="e">
        <f t="shared" ref="C28:L28" si="1">C27/$B$30</f>
        <v>#VALUE!</v>
      </c>
      <c r="D28" s="37" t="e">
        <f t="shared" si="1"/>
        <v>#VALUE!</v>
      </c>
      <c r="E28" s="37" t="e">
        <f t="shared" si="1"/>
        <v>#DIV/0!</v>
      </c>
      <c r="F28" s="37" t="e">
        <f t="shared" si="1"/>
        <v>#VALUE!</v>
      </c>
      <c r="G28" s="37" t="e">
        <f t="shared" si="1"/>
        <v>#VALUE!</v>
      </c>
      <c r="H28" s="37" t="e">
        <f t="shared" si="1"/>
        <v>#VALUE!</v>
      </c>
      <c r="I28" s="37" t="e">
        <f t="shared" si="1"/>
        <v>#VALUE!</v>
      </c>
      <c r="J28" s="37" t="e">
        <f t="shared" si="1"/>
        <v>#VALUE!</v>
      </c>
      <c r="K28" s="37" t="e">
        <f t="shared" si="1"/>
        <v>#VALUE!</v>
      </c>
      <c r="L28" s="38" t="e">
        <f t="shared" si="1"/>
        <v>#VALUE!</v>
      </c>
    </row>
    <row r="29" spans="1:13" x14ac:dyDescent="0.25">
      <c r="A29" s="39" t="s">
        <v>64</v>
      </c>
      <c r="B29" s="42" t="e">
        <f>B28*$B$47</f>
        <v>#VALUE!</v>
      </c>
      <c r="C29" s="43" t="e">
        <f t="shared" ref="C29:L29" si="2">C28*$B$47</f>
        <v>#VALUE!</v>
      </c>
      <c r="D29" s="43" t="e">
        <f t="shared" si="2"/>
        <v>#VALUE!</v>
      </c>
      <c r="E29" s="43" t="e">
        <f t="shared" si="2"/>
        <v>#DIV/0!</v>
      </c>
      <c r="F29" s="43" t="e">
        <f t="shared" si="2"/>
        <v>#VALUE!</v>
      </c>
      <c r="G29" s="43" t="e">
        <f t="shared" si="2"/>
        <v>#VALUE!</v>
      </c>
      <c r="H29" s="43" t="e">
        <f t="shared" si="2"/>
        <v>#VALUE!</v>
      </c>
      <c r="I29" s="43" t="e">
        <f t="shared" si="2"/>
        <v>#VALUE!</v>
      </c>
      <c r="J29" s="43" t="e">
        <f t="shared" si="2"/>
        <v>#VALUE!</v>
      </c>
      <c r="K29" s="43" t="e">
        <f t="shared" si="2"/>
        <v>#VALUE!</v>
      </c>
      <c r="L29" s="48" t="e">
        <f t="shared" si="2"/>
        <v>#VALUE!</v>
      </c>
    </row>
    <row r="30" spans="1:13" x14ac:dyDescent="0.25">
      <c r="A30" s="12" t="s">
        <v>17</v>
      </c>
      <c r="B30" s="36" t="e">
        <f>SUM(B27:L27)</f>
        <v>#VALUE!</v>
      </c>
    </row>
    <row r="31" spans="1:13" x14ac:dyDescent="0.25">
      <c r="A31" s="19" t="s">
        <v>35</v>
      </c>
      <c r="B31" s="49" t="e">
        <f>B28</f>
        <v>#VALUE!</v>
      </c>
    </row>
    <row r="32" spans="1:13" x14ac:dyDescent="0.25">
      <c r="A32" s="21" t="s">
        <v>59</v>
      </c>
      <c r="B32" s="47" t="e">
        <f>B31*B20</f>
        <v>#VALUE!</v>
      </c>
    </row>
    <row r="35" spans="1:5" x14ac:dyDescent="0.25">
      <c r="A35" s="19" t="s">
        <v>13</v>
      </c>
      <c r="B35" s="44">
        <v>75</v>
      </c>
      <c r="E35" s="46"/>
    </row>
    <row r="36" spans="1:5" x14ac:dyDescent="0.25">
      <c r="A36" s="22" t="s">
        <v>57</v>
      </c>
      <c r="B36" s="45">
        <v>53000</v>
      </c>
    </row>
    <row r="37" spans="1:5" x14ac:dyDescent="0.25">
      <c r="A37" s="22" t="s">
        <v>32</v>
      </c>
      <c r="B37" s="50">
        <v>7.0000000000000007E-2</v>
      </c>
    </row>
    <row r="38" spans="1:5" x14ac:dyDescent="0.25">
      <c r="A38" s="22" t="s">
        <v>33</v>
      </c>
      <c r="B38" s="50">
        <v>0.35</v>
      </c>
    </row>
    <row r="39" spans="1:5" x14ac:dyDescent="0.25">
      <c r="A39" s="21" t="s">
        <v>58</v>
      </c>
      <c r="B39" s="51">
        <v>0</v>
      </c>
    </row>
    <row r="40" spans="1:5" x14ac:dyDescent="0.25">
      <c r="A40" s="22" t="s">
        <v>38</v>
      </c>
      <c r="B40" s="52">
        <f>B36-B42</f>
        <v>34332.997800989557</v>
      </c>
    </row>
    <row r="41" spans="1:5" x14ac:dyDescent="0.25">
      <c r="A41" s="22" t="s">
        <v>53</v>
      </c>
      <c r="B41" s="53" t="e">
        <f>B35*B31*B20*24</f>
        <v>#VALUE!</v>
      </c>
    </row>
    <row r="42" spans="1:5" x14ac:dyDescent="0.25">
      <c r="A42" s="22" t="s">
        <v>37</v>
      </c>
      <c r="B42" s="52">
        <f>B23+B24*(1+B35/170*(1-B38))/(1+B37)</f>
        <v>18667.002199010443</v>
      </c>
    </row>
    <row r="43" spans="1:5" x14ac:dyDescent="0.25">
      <c r="A43" s="21" t="s">
        <v>44</v>
      </c>
      <c r="B43" s="54">
        <f>B42-B23-B24</f>
        <v>1521.8421990104434</v>
      </c>
    </row>
    <row r="44" spans="1:5" ht="16.5" customHeight="1" x14ac:dyDescent="0.25">
      <c r="A44" s="21" t="s">
        <v>20</v>
      </c>
      <c r="B44" s="55" t="e">
        <f>Profit(B35,B36,B23,B24,B32,B37,B38,B39)*24</f>
        <v>#VALUE!</v>
      </c>
    </row>
    <row r="47" spans="1:5" x14ac:dyDescent="0.25">
      <c r="A47" s="19" t="s">
        <v>60</v>
      </c>
      <c r="B47" s="56" t="e">
        <f>OBL(B36,B23,B24,B32,B37,B38,0)</f>
        <v>#VALUE!</v>
      </c>
    </row>
    <row r="48" spans="1:5" x14ac:dyDescent="0.25">
      <c r="A48" s="21" t="s">
        <v>61</v>
      </c>
      <c r="B48" s="55" t="e">
        <f>Profit(B47,B36,B23,B24,B32,B37,B38,0)*24</f>
        <v>#VALUE!</v>
      </c>
    </row>
    <row r="49" spans="1:2" x14ac:dyDescent="0.25">
      <c r="A49" s="19" t="s">
        <v>62</v>
      </c>
      <c r="B49" s="56" t="e">
        <f>OBL(B36,B23,B24,B32,B37,B38,1)</f>
        <v>#VALUE!</v>
      </c>
    </row>
    <row r="50" spans="1:2" x14ac:dyDescent="0.25">
      <c r="A50" s="21" t="s">
        <v>63</v>
      </c>
      <c r="B50" s="55" t="e">
        <f>Profit(B49,B36,B23,B24,B32,B37,B38,1)*24</f>
        <v>#VALUE!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SEP-Win-Coc-CE</vt:lpstr>
      <vt:lpstr>Jum-Win-Coc-JE</vt:lpstr>
      <vt:lpstr>Lux-Win-Coc-JE</vt:lpstr>
      <vt:lpstr>SAT-Ion-FC-AtC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2021-09-01T02:36:56Z</dcterms:modified>
</cp:coreProperties>
</file>