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F\Documents\GitHub\SimCompanies\"/>
    </mc:Choice>
  </mc:AlternateContent>
  <bookViews>
    <workbookView xWindow="0" yWindow="0" windowWidth="28800" windowHeight="11730" activeTab="3"/>
  </bookViews>
  <sheets>
    <sheet name="SEP-Win-Coc-CE" sheetId="17" r:id="rId1"/>
    <sheet name="SAT-Ion-FC-AtC" sheetId="18" r:id="rId2"/>
    <sheet name="Lux-Win-Coc-JE" sheetId="16" r:id="rId3"/>
    <sheet name="Jum-Win-Coc-JE" sheetId="15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8" i="16" l="1"/>
  <c r="D28" i="16"/>
  <c r="E28" i="16"/>
  <c r="E22" i="18"/>
  <c r="D22" i="18"/>
  <c r="C22" i="18"/>
  <c r="B22" i="18"/>
  <c r="E19" i="18"/>
  <c r="D19" i="18"/>
  <c r="D23" i="18" s="1"/>
  <c r="C19" i="18"/>
  <c r="C23" i="18" s="1"/>
  <c r="L28" i="18"/>
  <c r="K28" i="18"/>
  <c r="J28" i="18"/>
  <c r="I28" i="18"/>
  <c r="H28" i="18"/>
  <c r="G28" i="18"/>
  <c r="F28" i="18"/>
  <c r="E28" i="18"/>
  <c r="D28" i="18"/>
  <c r="C28" i="18"/>
  <c r="B28" i="18"/>
  <c r="L23" i="18"/>
  <c r="K23" i="18"/>
  <c r="J23" i="18"/>
  <c r="I23" i="18"/>
  <c r="H23" i="18"/>
  <c r="G23" i="18"/>
  <c r="F23" i="18"/>
  <c r="E23" i="18"/>
  <c r="B23" i="18"/>
  <c r="B24" i="18" l="1"/>
  <c r="B25" i="18"/>
  <c r="B31" i="18"/>
  <c r="L29" i="18" s="1"/>
  <c r="B43" i="18" l="1"/>
  <c r="B44" i="18" s="1"/>
  <c r="C29" i="18"/>
  <c r="B29" i="18"/>
  <c r="B32" i="18" s="1"/>
  <c r="D29" i="18"/>
  <c r="K29" i="18"/>
  <c r="F29" i="18"/>
  <c r="E29" i="18"/>
  <c r="I29" i="18"/>
  <c r="G29" i="18"/>
  <c r="H29" i="18"/>
  <c r="J29" i="18"/>
  <c r="B22" i="17"/>
  <c r="B24" i="17" s="1"/>
  <c r="L28" i="17"/>
  <c r="K28" i="17"/>
  <c r="J28" i="17"/>
  <c r="I28" i="17"/>
  <c r="H28" i="17"/>
  <c r="G28" i="17"/>
  <c r="F28" i="17"/>
  <c r="E28" i="17"/>
  <c r="D28" i="17"/>
  <c r="C28" i="17"/>
  <c r="B28" i="17"/>
  <c r="L23" i="17"/>
  <c r="K23" i="17"/>
  <c r="J23" i="17"/>
  <c r="I23" i="17"/>
  <c r="H23" i="17"/>
  <c r="G23" i="17"/>
  <c r="F23" i="17"/>
  <c r="E23" i="17"/>
  <c r="D23" i="17"/>
  <c r="C23" i="17"/>
  <c r="B23" i="17"/>
  <c r="B41" i="18" l="1"/>
  <c r="B42" i="18"/>
  <c r="B33" i="18"/>
  <c r="B25" i="17"/>
  <c r="B43" i="17" s="1"/>
  <c r="B31" i="17"/>
  <c r="I29" i="17" s="1"/>
  <c r="B22" i="16"/>
  <c r="B24" i="16" s="1"/>
  <c r="L28" i="16"/>
  <c r="K28" i="16"/>
  <c r="J28" i="16"/>
  <c r="I28" i="16"/>
  <c r="H28" i="16"/>
  <c r="G28" i="16"/>
  <c r="F28" i="16"/>
  <c r="B28" i="16"/>
  <c r="L23" i="16"/>
  <c r="K23" i="16"/>
  <c r="J23" i="16"/>
  <c r="I23" i="16"/>
  <c r="H23" i="16"/>
  <c r="G23" i="16"/>
  <c r="F23" i="16"/>
  <c r="E23" i="16"/>
  <c r="D23" i="16"/>
  <c r="C23" i="16"/>
  <c r="B23" i="16"/>
  <c r="B22" i="15"/>
  <c r="B24" i="15" s="1"/>
  <c r="L28" i="15"/>
  <c r="K28" i="15"/>
  <c r="J28" i="15"/>
  <c r="I28" i="15"/>
  <c r="H28" i="15"/>
  <c r="G28" i="15"/>
  <c r="F28" i="15"/>
  <c r="E28" i="15"/>
  <c r="D28" i="15"/>
  <c r="C28" i="15"/>
  <c r="B28" i="15"/>
  <c r="L23" i="15"/>
  <c r="K23" i="15"/>
  <c r="J23" i="15"/>
  <c r="I23" i="15"/>
  <c r="H23" i="15"/>
  <c r="G23" i="15"/>
  <c r="F23" i="15"/>
  <c r="E23" i="15"/>
  <c r="D23" i="15"/>
  <c r="C23" i="15"/>
  <c r="B23" i="15"/>
  <c r="B48" i="18"/>
  <c r="B50" i="18"/>
  <c r="B51" i="18"/>
  <c r="B45" i="18"/>
  <c r="B49" i="18"/>
  <c r="K30" i="18" l="1"/>
  <c r="D30" i="18"/>
  <c r="C30" i="18"/>
  <c r="B30" i="18"/>
  <c r="L30" i="18"/>
  <c r="F30" i="18"/>
  <c r="H30" i="18"/>
  <c r="G30" i="18"/>
  <c r="J30" i="18"/>
  <c r="I30" i="18"/>
  <c r="E30" i="18"/>
  <c r="E29" i="17"/>
  <c r="L29" i="17"/>
  <c r="H29" i="17"/>
  <c r="C29" i="17"/>
  <c r="B29" i="17"/>
  <c r="B32" i="17" s="1"/>
  <c r="F29" i="17"/>
  <c r="K29" i="17"/>
  <c r="G29" i="17"/>
  <c r="J29" i="17"/>
  <c r="B41" i="17"/>
  <c r="B44" i="17"/>
  <c r="D29" i="17"/>
  <c r="B25" i="16"/>
  <c r="B43" i="16" s="1"/>
  <c r="B31" i="16"/>
  <c r="H29" i="16" s="1"/>
  <c r="B25" i="15"/>
  <c r="B43" i="15" s="1"/>
  <c r="B31" i="15"/>
  <c r="E29" i="15" s="1"/>
  <c r="G35" i="15" s="1"/>
  <c r="B33" i="17" l="1"/>
  <c r="B42" i="17"/>
  <c r="J29" i="16"/>
  <c r="B29" i="16"/>
  <c r="B41" i="16"/>
  <c r="B44" i="16"/>
  <c r="D29" i="16"/>
  <c r="C29" i="16"/>
  <c r="E29" i="16"/>
  <c r="L29" i="16"/>
  <c r="K29" i="16"/>
  <c r="I29" i="16"/>
  <c r="G29" i="16"/>
  <c r="F29" i="16"/>
  <c r="F29" i="15"/>
  <c r="I29" i="15"/>
  <c r="H29" i="15"/>
  <c r="L29" i="15"/>
  <c r="D29" i="15"/>
  <c r="F35" i="15" s="1"/>
  <c r="C29" i="15"/>
  <c r="E35" i="15" s="1"/>
  <c r="K29" i="15"/>
  <c r="B44" i="15"/>
  <c r="B41" i="15"/>
  <c r="G29" i="15"/>
  <c r="J29" i="15"/>
  <c r="B29" i="15"/>
  <c r="D35" i="15" s="1"/>
  <c r="B50" i="17"/>
  <c r="B45" i="17"/>
  <c r="B48" i="17"/>
  <c r="B49" i="17" s="1"/>
  <c r="B51" i="17"/>
  <c r="E30" i="17" l="1"/>
  <c r="H30" i="17"/>
  <c r="B30" i="17"/>
  <c r="C30" i="17"/>
  <c r="L30" i="17"/>
  <c r="F30" i="17"/>
  <c r="I30" i="17"/>
  <c r="D30" i="17"/>
  <c r="J30" i="17"/>
  <c r="K30" i="17"/>
  <c r="G30" i="17"/>
  <c r="B32" i="16"/>
  <c r="B32" i="15"/>
  <c r="B33" i="16" l="1"/>
  <c r="B42" i="16"/>
  <c r="B33" i="15"/>
  <c r="B42" i="15"/>
  <c r="B48" i="16"/>
  <c r="B49" i="16"/>
  <c r="B50" i="15"/>
  <c r="B50" i="16"/>
  <c r="B45" i="16"/>
  <c r="B45" i="15"/>
  <c r="B48" i="15"/>
  <c r="B49" i="15" s="1"/>
  <c r="H30" i="16" l="1"/>
  <c r="J30" i="16"/>
  <c r="E30" i="16"/>
  <c r="L30" i="16"/>
  <c r="C30" i="16"/>
  <c r="K30" i="16"/>
  <c r="G30" i="16"/>
  <c r="F30" i="16"/>
  <c r="B30" i="16"/>
  <c r="I30" i="16"/>
  <c r="D30" i="16"/>
  <c r="E30" i="15"/>
  <c r="F30" i="15"/>
  <c r="G30" i="15"/>
  <c r="J30" i="15"/>
  <c r="C30" i="15"/>
  <c r="K30" i="15"/>
  <c r="I30" i="15"/>
  <c r="H30" i="15"/>
  <c r="B30" i="15"/>
  <c r="L30" i="15"/>
  <c r="D30" i="15"/>
  <c r="B51" i="15"/>
  <c r="B51" i="16"/>
</calcChain>
</file>

<file path=xl/sharedStrings.xml><?xml version="1.0" encoding="utf-8"?>
<sst xmlns="http://schemas.openxmlformats.org/spreadsheetml/2006/main" count="266" uniqueCount="80">
  <si>
    <t>Alphas</t>
  </si>
  <si>
    <t>Product Name</t>
  </si>
  <si>
    <t xml:space="preserve">(Pu) Produced units per hour </t>
  </si>
  <si>
    <t>(Pw) Product wages, no Admin costs</t>
  </si>
  <si>
    <t>(In) Input resources</t>
  </si>
  <si>
    <t>Input resources</t>
  </si>
  <si>
    <t xml:space="preserve">(those not produced) </t>
  </si>
  <si>
    <t>Fuselage</t>
  </si>
  <si>
    <t>Cockpit</t>
  </si>
  <si>
    <t>Steel</t>
  </si>
  <si>
    <t>HGEC</t>
  </si>
  <si>
    <t>Name</t>
  </si>
  <si>
    <t>Price</t>
  </si>
  <si>
    <t>(Bl) Building level</t>
  </si>
  <si>
    <t>Required per end product</t>
  </si>
  <si>
    <t>Required buildings to produce 1 end product</t>
  </si>
  <si>
    <t>End Product</t>
  </si>
  <si>
    <t>Total Alpha</t>
  </si>
  <si>
    <t xml:space="preserve">*Dependencies should be adjusted manually </t>
  </si>
  <si>
    <t>% required (alpha)</t>
  </si>
  <si>
    <t>Daily Profit</t>
  </si>
  <si>
    <t>RP1</t>
  </si>
  <si>
    <t>RP2</t>
  </si>
  <si>
    <t>RP3</t>
  </si>
  <si>
    <t>RP4</t>
  </si>
  <si>
    <t>RP5</t>
  </si>
  <si>
    <t>RP6</t>
  </si>
  <si>
    <t>RP7</t>
  </si>
  <si>
    <t>RP8</t>
  </si>
  <si>
    <t>RP9</t>
  </si>
  <si>
    <t>RP10</t>
  </si>
  <si>
    <t>(In_T) Total Input Resources</t>
  </si>
  <si>
    <t>(Pb) Productivity bonus</t>
  </si>
  <si>
    <t>(Sk) Executives Management Skills</t>
  </si>
  <si>
    <t>(Pw_t) Total product wages, no Admin costs</t>
  </si>
  <si>
    <t>(Pu_T) Alpha End product</t>
  </si>
  <si>
    <t>amount of self produced required products</t>
  </si>
  <si>
    <t>Total Unitary costs</t>
  </si>
  <si>
    <t>Total Unitary profit</t>
  </si>
  <si>
    <t>COLOR CODES</t>
  </si>
  <si>
    <t>Partial results</t>
  </si>
  <si>
    <t>Final results</t>
  </si>
  <si>
    <t>Change constantly (manually)</t>
  </si>
  <si>
    <t xml:space="preserve">Change rarely (manually) </t>
  </si>
  <si>
    <t>Total Unitary admin costs</t>
  </si>
  <si>
    <t>Satellite</t>
  </si>
  <si>
    <t>Chemicals</t>
  </si>
  <si>
    <t>Batteries</t>
  </si>
  <si>
    <t>Sat-Ion Drive</t>
  </si>
  <si>
    <t>Aluminium</t>
  </si>
  <si>
    <t>It's too expensive to buy Rocket engines :(</t>
  </si>
  <si>
    <t>Total Units daily</t>
  </si>
  <si>
    <t xml:space="preserve">This method is the best if getting a good q3 rocket engine producer which sells cheap enough </t>
  </si>
  <si>
    <t xml:space="preserve">also, this strategy is only good for those who produce q5 BFRs </t>
  </si>
  <si>
    <t xml:space="preserve">Maybe having a hybrid model. Something between producing our own RE and also buying the rest of them </t>
  </si>
  <si>
    <t>(Sp) Selling price, of the final product</t>
  </si>
  <si>
    <t>(Ro) Robots; 1 or 0</t>
  </si>
  <si>
    <t>(Pu_E) Proportional production of end product</t>
  </si>
  <si>
    <t>(Bl*) Optimal Building level (no robots)</t>
  </si>
  <si>
    <t>Optimal Daily Profit (no robots)</t>
  </si>
  <si>
    <t>(Bl*) Optimal Building level (with robots)</t>
  </si>
  <si>
    <t>Optimal Daily Profit (with robots)</t>
  </si>
  <si>
    <t xml:space="preserve">Optimum Building levels (no robots) </t>
  </si>
  <si>
    <t>Lux</t>
  </si>
  <si>
    <t>Wing</t>
  </si>
  <si>
    <t>Jet Engine</t>
  </si>
  <si>
    <t>(Fw) Factory wages, no Admin costs</t>
  </si>
  <si>
    <t>Golden Bars</t>
  </si>
  <si>
    <t>Carbon composite</t>
  </si>
  <si>
    <t>Displays</t>
  </si>
  <si>
    <t>Basic interior</t>
  </si>
  <si>
    <t>Combustion Engine</t>
  </si>
  <si>
    <t>Electronic Components</t>
  </si>
  <si>
    <t>Single Engine Plane</t>
  </si>
  <si>
    <t xml:space="preserve">Jumbo </t>
  </si>
  <si>
    <t>On-Board computer</t>
  </si>
  <si>
    <t>Attitude Control</t>
  </si>
  <si>
    <t>Electric motor</t>
  </si>
  <si>
    <t>SAT-Flight computer</t>
  </si>
  <si>
    <t>SAT-Attitude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</si>
</sst>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44" fontId="0" fillId="2" borderId="0" xfId="2" applyFont="1" applyFill="1" applyBorder="1"/>
    <xf numFmtId="44" fontId="0" fillId="2" borderId="5" xfId="2" applyFont="1" applyFill="1" applyBorder="1"/>
    <xf numFmtId="44" fontId="0" fillId="2" borderId="7" xfId="2" applyFont="1" applyFill="1" applyBorder="1"/>
    <xf numFmtId="44" fontId="0" fillId="2" borderId="8" xfId="2" applyFont="1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44" fontId="0" fillId="4" borderId="3" xfId="2" applyFont="1" applyFill="1" applyBorder="1"/>
    <xf numFmtId="44" fontId="0" fillId="4" borderId="8" xfId="2" applyFont="1" applyFill="1" applyBorder="1"/>
    <xf numFmtId="0" fontId="0" fillId="0" borderId="1" xfId="0" applyBorder="1"/>
    <xf numFmtId="0" fontId="0" fillId="3" borderId="2" xfId="0" applyFill="1" applyBorder="1"/>
    <xf numFmtId="0" fontId="0" fillId="0" borderId="6" xfId="0" applyBorder="1"/>
    <xf numFmtId="0" fontId="0" fillId="0" borderId="4" xfId="0" applyBorder="1"/>
    <xf numFmtId="0" fontId="0" fillId="0" borderId="5" xfId="0" applyBorder="1"/>
    <xf numFmtId="0" fontId="0" fillId="0" borderId="3" xfId="0" applyBorder="1"/>
    <xf numFmtId="0" fontId="0" fillId="2" borderId="6" xfId="0" applyFill="1" applyBorder="1"/>
    <xf numFmtId="44" fontId="0" fillId="2" borderId="3" xfId="2" applyFont="1" applyFill="1" applyBorder="1"/>
    <xf numFmtId="44" fontId="0" fillId="3" borderId="0" xfId="2" applyFont="1" applyFill="1" applyBorder="1"/>
    <xf numFmtId="44" fontId="0" fillId="3" borderId="5" xfId="2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5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0" borderId="0" xfId="0" applyFont="1"/>
    <xf numFmtId="0" fontId="0" fillId="4" borderId="5" xfId="0" applyFill="1" applyBorder="1"/>
    <xf numFmtId="10" fontId="0" fillId="4" borderId="0" xfId="1" applyNumberFormat="1" applyFont="1" applyFill="1" applyBorder="1"/>
    <xf numFmtId="10" fontId="0" fillId="4" borderId="5" xfId="1" applyNumberFormat="1" applyFont="1" applyFill="1" applyBorder="1"/>
    <xf numFmtId="0" fontId="0" fillId="0" borderId="0" xfId="0" applyFill="1" applyBorder="1"/>
    <xf numFmtId="0" fontId="0" fillId="3" borderId="1" xfId="0" applyFill="1" applyBorder="1"/>
    <xf numFmtId="10" fontId="0" fillId="4" borderId="4" xfId="1" applyNumberFormat="1" applyFont="1" applyFill="1" applyBorder="1"/>
    <xf numFmtId="43" fontId="0" fillId="5" borderId="6" xfId="3" applyFont="1" applyFill="1" applyBorder="1"/>
    <xf numFmtId="43" fontId="0" fillId="5" borderId="7" xfId="3" applyFont="1" applyFill="1" applyBorder="1"/>
    <xf numFmtId="0" fontId="0" fillId="2" borderId="9" xfId="0" applyFill="1" applyBorder="1"/>
    <xf numFmtId="44" fontId="0" fillId="2" borderId="10" xfId="2" applyFont="1" applyFill="1" applyBorder="1"/>
    <xf numFmtId="10" fontId="0" fillId="0" borderId="0" xfId="0" applyNumberFormat="1"/>
    <xf numFmtId="43" fontId="0" fillId="5" borderId="11" xfId="3" applyFont="1" applyFill="1" applyBorder="1"/>
    <xf numFmtId="43" fontId="0" fillId="5" borderId="8" xfId="3" applyFont="1" applyFill="1" applyBorder="1"/>
    <xf numFmtId="10" fontId="0" fillId="4" borderId="9" xfId="0" applyNumberFormat="1" applyFill="1" applyBorder="1"/>
    <xf numFmtId="10" fontId="0" fillId="2" borderId="10" xfId="0" applyNumberFormat="1" applyFill="1" applyBorder="1"/>
    <xf numFmtId="164" fontId="0" fillId="2" borderId="11" xfId="3" applyNumberFormat="1" applyFont="1" applyFill="1" applyBorder="1"/>
    <xf numFmtId="44" fontId="0" fillId="4" borderId="10" xfId="2" applyFont="1" applyFill="1" applyBorder="1"/>
    <xf numFmtId="1" fontId="0" fillId="4" borderId="10" xfId="0" applyNumberFormat="1" applyFill="1" applyBorder="1"/>
    <xf numFmtId="44" fontId="0" fillId="4" borderId="11" xfId="0" applyNumberFormat="1" applyFill="1" applyBorder="1"/>
    <xf numFmtId="44" fontId="0" fillId="5" borderId="11" xfId="2" applyFont="1" applyFill="1" applyBorder="1"/>
    <xf numFmtId="0" fontId="0" fillId="5" borderId="9" xfId="0" applyFill="1" applyBorder="1"/>
    <xf numFmtId="44" fontId="0" fillId="4" borderId="0" xfId="2" applyFont="1" applyFill="1" applyBorder="1"/>
    <xf numFmtId="44" fontId="0" fillId="2" borderId="6" xfId="2" applyFont="1" applyFill="1" applyBorder="1"/>
    <xf numFmtId="44" fontId="0" fillId="0" borderId="0" xfId="0" applyNumberFormat="1"/>
  </cellXfs>
  <cellStyles count="4">
    <cellStyle name="Millares" xfId="3" builtinId="3"/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46</xdr:row>
      <xdr:rowOff>0</xdr:rowOff>
    </xdr:from>
    <xdr:to>
      <xdr:col>7</xdr:col>
      <xdr:colOff>140977</xdr:colOff>
      <xdr:row>48</xdr:row>
      <xdr:rowOff>104714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7439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40822</xdr:colOff>
      <xdr:row>46</xdr:row>
      <xdr:rowOff>40821</xdr:rowOff>
    </xdr:from>
    <xdr:to>
      <xdr:col>7</xdr:col>
      <xdr:colOff>181798</xdr:colOff>
      <xdr:row>48</xdr:row>
      <xdr:rowOff>145535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6247" y="8784771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40822</xdr:colOff>
      <xdr:row>46</xdr:row>
      <xdr:rowOff>40821</xdr:rowOff>
    </xdr:from>
    <xdr:to>
      <xdr:col>7</xdr:col>
      <xdr:colOff>181799</xdr:colOff>
      <xdr:row>48</xdr:row>
      <xdr:rowOff>145535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7608" y="8763000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1129393</xdr:colOff>
      <xdr:row>46</xdr:row>
      <xdr:rowOff>0</xdr:rowOff>
    </xdr:from>
    <xdr:to>
      <xdr:col>7</xdr:col>
      <xdr:colOff>127370</xdr:colOff>
      <xdr:row>48</xdr:row>
      <xdr:rowOff>104714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93179" y="8722179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2:M57"/>
  <sheetViews>
    <sheetView topLeftCell="A19" zoomScale="70" zoomScaleNormal="70" workbookViewId="0">
      <selection activeCell="G41" sqref="G41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5</v>
      </c>
      <c r="B2" s="24" t="s">
        <v>6</v>
      </c>
      <c r="E2" s="35" t="s">
        <v>39</v>
      </c>
    </row>
    <row r="3" spans="1:6" x14ac:dyDescent="0.25">
      <c r="A3" s="22" t="s">
        <v>11</v>
      </c>
      <c r="B3" s="23" t="s">
        <v>12</v>
      </c>
      <c r="E3" s="32" t="s">
        <v>42</v>
      </c>
      <c r="F3" s="32"/>
    </row>
    <row r="4" spans="1:6" x14ac:dyDescent="0.25">
      <c r="A4" s="1" t="s">
        <v>9</v>
      </c>
      <c r="B4" s="26">
        <v>11.1</v>
      </c>
      <c r="E4" s="33" t="s">
        <v>43</v>
      </c>
      <c r="F4" s="33"/>
    </row>
    <row r="5" spans="1:6" x14ac:dyDescent="0.25">
      <c r="A5" s="4" t="s">
        <v>68</v>
      </c>
      <c r="B5" s="8">
        <v>63.5</v>
      </c>
      <c r="E5" s="34" t="s">
        <v>40</v>
      </c>
      <c r="F5" s="34"/>
    </row>
    <row r="6" spans="1:6" x14ac:dyDescent="0.25">
      <c r="A6" s="4" t="s">
        <v>49</v>
      </c>
      <c r="B6" s="8">
        <v>18.7</v>
      </c>
      <c r="E6" s="31" t="s">
        <v>41</v>
      </c>
      <c r="F6" s="31"/>
    </row>
    <row r="7" spans="1:6" x14ac:dyDescent="0.25">
      <c r="A7" s="4" t="s">
        <v>10</v>
      </c>
      <c r="B7" s="8">
        <v>870</v>
      </c>
    </row>
    <row r="8" spans="1:6" x14ac:dyDescent="0.25">
      <c r="A8" s="4" t="s">
        <v>69</v>
      </c>
      <c r="B8" s="8">
        <v>116</v>
      </c>
    </row>
    <row r="9" spans="1:6" x14ac:dyDescent="0.25">
      <c r="A9" s="4" t="s">
        <v>70</v>
      </c>
      <c r="B9" s="8">
        <v>312</v>
      </c>
    </row>
    <row r="10" spans="1:6" x14ac:dyDescent="0.25">
      <c r="A10" s="4" t="s">
        <v>46</v>
      </c>
      <c r="B10" s="8">
        <v>14.6</v>
      </c>
    </row>
    <row r="11" spans="1:6" x14ac:dyDescent="0.25">
      <c r="A11" s="4" t="s">
        <v>72</v>
      </c>
      <c r="B11" s="8">
        <v>54</v>
      </c>
    </row>
    <row r="12" spans="1:6" x14ac:dyDescent="0.25">
      <c r="A12" s="4" t="s">
        <v>7</v>
      </c>
      <c r="B12" s="8">
        <v>2790</v>
      </c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16</v>
      </c>
      <c r="C17" s="15" t="s">
        <v>21</v>
      </c>
      <c r="D17" s="15" t="s">
        <v>22</v>
      </c>
      <c r="E17" s="15" t="s">
        <v>23</v>
      </c>
      <c r="F17" s="15" t="s">
        <v>24</v>
      </c>
      <c r="G17" s="15" t="s">
        <v>25</v>
      </c>
      <c r="H17" s="15" t="s">
        <v>26</v>
      </c>
      <c r="I17" s="15" t="s">
        <v>27</v>
      </c>
      <c r="J17" s="15" t="s">
        <v>28</v>
      </c>
      <c r="K17" s="15" t="s">
        <v>29</v>
      </c>
      <c r="L17" s="16" t="s">
        <v>30</v>
      </c>
    </row>
    <row r="18" spans="1:13" x14ac:dyDescent="0.25">
      <c r="A18" s="11" t="s">
        <v>1</v>
      </c>
      <c r="B18" s="2" t="s">
        <v>73</v>
      </c>
      <c r="C18" s="2" t="s">
        <v>64</v>
      </c>
      <c r="D18" s="2" t="s">
        <v>8</v>
      </c>
      <c r="E18" s="2" t="s">
        <v>71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14</v>
      </c>
      <c r="B19" s="5">
        <v>1</v>
      </c>
      <c r="C19" s="5">
        <v>2</v>
      </c>
      <c r="D19" s="5">
        <v>1</v>
      </c>
      <c r="E19" s="5">
        <v>1</v>
      </c>
      <c r="F19" s="5"/>
      <c r="G19" s="5"/>
      <c r="H19" s="5"/>
      <c r="I19" s="5"/>
      <c r="J19" s="5"/>
      <c r="K19" s="5"/>
      <c r="L19" s="6"/>
      <c r="M19" t="s">
        <v>36</v>
      </c>
    </row>
    <row r="20" spans="1:13" x14ac:dyDescent="0.25">
      <c r="A20" s="12" t="s">
        <v>2</v>
      </c>
      <c r="B20" s="29">
        <v>1.63</v>
      </c>
      <c r="C20" s="29">
        <v>8.11</v>
      </c>
      <c r="D20" s="29">
        <v>2.2599999999999998</v>
      </c>
      <c r="E20" s="29">
        <v>5.6</v>
      </c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66</v>
      </c>
      <c r="B21" s="27">
        <v>759</v>
      </c>
      <c r="C21" s="27">
        <v>587</v>
      </c>
      <c r="D21" s="27">
        <v>725</v>
      </c>
      <c r="E21" s="27">
        <v>621</v>
      </c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4</v>
      </c>
      <c r="B22" s="7">
        <f>8*B12</f>
        <v>22320</v>
      </c>
      <c r="C22" s="9">
        <v>2229.5</v>
      </c>
      <c r="D22" s="9">
        <v>5058</v>
      </c>
      <c r="E22" s="9">
        <v>433.1</v>
      </c>
      <c r="F22" s="9"/>
      <c r="G22" s="9"/>
      <c r="H22" s="9"/>
      <c r="I22" s="9"/>
      <c r="J22" s="9"/>
      <c r="K22" s="9"/>
      <c r="L22" s="10"/>
    </row>
    <row r="23" spans="1:13" x14ac:dyDescent="0.25">
      <c r="A23" s="12" t="s">
        <v>3</v>
      </c>
      <c r="B23" s="57">
        <f>IF(B19&gt;0,B21/B20,)</f>
        <v>465.64417177914112</v>
      </c>
      <c r="C23" s="57">
        <f t="shared" ref="C23:L23" si="0">IF(C19&gt;0,C21/C20,)</f>
        <v>72.379778051787923</v>
      </c>
      <c r="D23" s="57">
        <f t="shared" si="0"/>
        <v>320.79646017699116</v>
      </c>
      <c r="E23" s="57">
        <f t="shared" si="0"/>
        <v>110.89285714285715</v>
      </c>
      <c r="F23" s="57">
        <f t="shared" si="0"/>
        <v>0</v>
      </c>
      <c r="G23" s="57">
        <f t="shared" si="0"/>
        <v>0</v>
      </c>
      <c r="H23" s="57">
        <f t="shared" si="0"/>
        <v>0</v>
      </c>
      <c r="I23" s="57">
        <f t="shared" si="0"/>
        <v>0</v>
      </c>
      <c r="J23" s="57">
        <f t="shared" si="0"/>
        <v>0</v>
      </c>
      <c r="K23" s="57">
        <f t="shared" si="0"/>
        <v>0</v>
      </c>
      <c r="L23" s="57">
        <f t="shared" si="0"/>
        <v>0</v>
      </c>
    </row>
    <row r="24" spans="1:13" ht="14.25" customHeight="1" x14ac:dyDescent="0.25">
      <c r="A24" s="11" t="s">
        <v>31</v>
      </c>
      <c r="B24" s="17">
        <f>SUMPRODUCT(B22:L22,B19:L19)</f>
        <v>32270.1</v>
      </c>
    </row>
    <row r="25" spans="1:13" ht="14.25" customHeight="1" x14ac:dyDescent="0.25">
      <c r="A25" s="13" t="s">
        <v>34</v>
      </c>
      <c r="B25" s="18">
        <f>SUMPRODUCT(B23:L23,B19:L19)</f>
        <v>1042.0930452025652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15</v>
      </c>
      <c r="B28" s="40">
        <f>B19/B20</f>
        <v>0.61349693251533743</v>
      </c>
      <c r="C28" s="20">
        <f t="shared" ref="C28:L28" si="1">IF(C19&gt;0,1/C20*C19,)</f>
        <v>0.24660912453760792</v>
      </c>
      <c r="D28" s="20">
        <f t="shared" si="1"/>
        <v>0.44247787610619471</v>
      </c>
      <c r="E28" s="20">
        <f t="shared" si="1"/>
        <v>0.17857142857142858</v>
      </c>
      <c r="F28" s="20">
        <f t="shared" si="1"/>
        <v>0</v>
      </c>
      <c r="G28" s="20">
        <f t="shared" si="1"/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18</v>
      </c>
    </row>
    <row r="29" spans="1:13" x14ac:dyDescent="0.25">
      <c r="A29" s="22" t="s">
        <v>19</v>
      </c>
      <c r="B29" s="41">
        <f>B28/$B$31</f>
        <v>0.41420160799238043</v>
      </c>
      <c r="C29" s="37">
        <f t="shared" ref="C29:L29" si="2">C28/$B$31</f>
        <v>0.16649781036438474</v>
      </c>
      <c r="D29" s="37">
        <f t="shared" si="2"/>
        <v>0.29873832788830978</v>
      </c>
      <c r="E29" s="37">
        <f t="shared" si="2"/>
        <v>0.12056225375492502</v>
      </c>
      <c r="F29" s="37">
        <f t="shared" si="2"/>
        <v>0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62</v>
      </c>
      <c r="B30" s="42">
        <f>B29*$B$48</f>
        <v>70.462509821468302</v>
      </c>
      <c r="C30" s="43">
        <f t="shared" ref="C30:L30" si="3">C29*$B$48</f>
        <v>28.32401751146568</v>
      </c>
      <c r="D30" s="43">
        <f t="shared" si="3"/>
        <v>50.820305756191743</v>
      </c>
      <c r="E30" s="43">
        <f t="shared" si="3"/>
        <v>20.509623394463095</v>
      </c>
      <c r="F30" s="43">
        <f t="shared" si="3"/>
        <v>0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48">
        <f t="shared" si="3"/>
        <v>0</v>
      </c>
    </row>
    <row r="31" spans="1:13" x14ac:dyDescent="0.25">
      <c r="A31" s="12" t="s">
        <v>17</v>
      </c>
      <c r="B31" s="36">
        <f>SUM(B28:L28)</f>
        <v>1.4811553617305686</v>
      </c>
    </row>
    <row r="32" spans="1:13" x14ac:dyDescent="0.25">
      <c r="A32" s="19" t="s">
        <v>35</v>
      </c>
      <c r="B32" s="49">
        <f>B29</f>
        <v>0.41420160799238043</v>
      </c>
    </row>
    <row r="33" spans="1:5" x14ac:dyDescent="0.25">
      <c r="A33" s="21" t="s">
        <v>57</v>
      </c>
      <c r="B33" s="47">
        <f>B32*B20</f>
        <v>0.67514862102758</v>
      </c>
    </row>
    <row r="36" spans="1:5" x14ac:dyDescent="0.25">
      <c r="A36" s="19" t="s">
        <v>13</v>
      </c>
      <c r="B36" s="44">
        <v>75</v>
      </c>
      <c r="E36" s="46"/>
    </row>
    <row r="37" spans="1:5" x14ac:dyDescent="0.25">
      <c r="A37" s="22" t="s">
        <v>55</v>
      </c>
      <c r="B37" s="45">
        <v>34500</v>
      </c>
    </row>
    <row r="38" spans="1:5" x14ac:dyDescent="0.25">
      <c r="A38" s="22" t="s">
        <v>32</v>
      </c>
      <c r="B38" s="50">
        <v>7.0000000000000007E-2</v>
      </c>
    </row>
    <row r="39" spans="1:5" x14ac:dyDescent="0.25">
      <c r="A39" s="22" t="s">
        <v>33</v>
      </c>
      <c r="B39" s="50">
        <v>0.35</v>
      </c>
    </row>
    <row r="40" spans="1:5" x14ac:dyDescent="0.25">
      <c r="A40" s="21" t="s">
        <v>56</v>
      </c>
      <c r="B40" s="51">
        <v>1</v>
      </c>
    </row>
    <row r="41" spans="1:5" x14ac:dyDescent="0.25">
      <c r="A41" s="22" t="s">
        <v>38</v>
      </c>
      <c r="B41" s="52">
        <f>B37-B43</f>
        <v>976.6957469045592</v>
      </c>
    </row>
    <row r="42" spans="1:5" x14ac:dyDescent="0.25">
      <c r="A42" s="22" t="s">
        <v>51</v>
      </c>
      <c r="B42" s="53">
        <f>B36*B32*B20*24</f>
        <v>1215.267517849644</v>
      </c>
    </row>
    <row r="43" spans="1:5" x14ac:dyDescent="0.25">
      <c r="A43" s="22" t="s">
        <v>37</v>
      </c>
      <c r="B43" s="52">
        <f>B24+B25*(1+B36/170*(1-B39))/(1+B38)</f>
        <v>33523.304253095441</v>
      </c>
    </row>
    <row r="44" spans="1:5" x14ac:dyDescent="0.25">
      <c r="A44" s="21" t="s">
        <v>44</v>
      </c>
      <c r="B44" s="54">
        <f>B43-B24-B25</f>
        <v>211.11120789287702</v>
      </c>
    </row>
    <row r="45" spans="1:5" x14ac:dyDescent="0.25">
      <c r="A45" s="21" t="s">
        <v>20</v>
      </c>
      <c r="B45" s="55">
        <f>Profit(B36,B37,B24,B25,B33,B38,B39,B40)*24</f>
        <v>1333198.6547326227</v>
      </c>
    </row>
    <row r="46" spans="1:5" ht="16.5" customHeight="1" x14ac:dyDescent="0.25"/>
    <row r="48" spans="1:5" x14ac:dyDescent="0.25">
      <c r="A48" s="19" t="s">
        <v>58</v>
      </c>
      <c r="B48" s="56">
        <f>OBL(B37,B24,B25,B33,B38,B39,0)</f>
        <v>170.11645648358882</v>
      </c>
    </row>
    <row r="49" spans="1:2" x14ac:dyDescent="0.25">
      <c r="A49" s="21" t="s">
        <v>59</v>
      </c>
      <c r="B49" s="55">
        <f>Profit(B48,B37,B24,B25,B33,B38,B39,0)*24</f>
        <v>1868418.6609902701</v>
      </c>
    </row>
    <row r="50" spans="1:2" x14ac:dyDescent="0.25">
      <c r="A50" s="19" t="s">
        <v>60</v>
      </c>
      <c r="B50" s="56">
        <f>OBL(B37,B24,B25,B33,B38,B39,1)</f>
        <v>179.42219938831522</v>
      </c>
    </row>
    <row r="51" spans="1:2" x14ac:dyDescent="0.25">
      <c r="A51" s="21" t="s">
        <v>61</v>
      </c>
      <c r="B51" s="55">
        <f>Profit(B50,B37,B24,B25,B33,B38,B39,1)*24</f>
        <v>2016070.0915508065</v>
      </c>
    </row>
    <row r="54" spans="1:2" x14ac:dyDescent="0.25">
      <c r="A54" t="s">
        <v>50</v>
      </c>
    </row>
    <row r="55" spans="1:2" x14ac:dyDescent="0.25">
      <c r="A55" t="s">
        <v>52</v>
      </c>
    </row>
    <row r="56" spans="1:2" x14ac:dyDescent="0.25">
      <c r="A56" t="s">
        <v>53</v>
      </c>
    </row>
    <row r="57" spans="1:2" x14ac:dyDescent="0.25">
      <c r="A57" t="s">
        <v>54</v>
      </c>
    </row>
  </sheetData>
  <sheetProtection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2:M57"/>
  <sheetViews>
    <sheetView zoomScale="70" zoomScaleNormal="70" workbookViewId="0">
      <selection activeCell="B38" sqref="B38"/>
    </sheetView>
  </sheetViews>
  <sheetFormatPr baseColWidth="10" defaultRowHeight="15" x14ac:dyDescent="0.25"/>
  <cols>
    <col min="1" max="1" width="42.710937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5</v>
      </c>
      <c r="B2" s="24" t="s">
        <v>6</v>
      </c>
      <c r="E2" s="35" t="s">
        <v>39</v>
      </c>
    </row>
    <row r="3" spans="1:6" x14ac:dyDescent="0.25">
      <c r="A3" s="22" t="s">
        <v>11</v>
      </c>
      <c r="B3" s="23" t="s">
        <v>12</v>
      </c>
      <c r="E3" s="32" t="s">
        <v>42</v>
      </c>
      <c r="F3" s="32"/>
    </row>
    <row r="4" spans="1:6" x14ac:dyDescent="0.25">
      <c r="A4" s="1" t="s">
        <v>10</v>
      </c>
      <c r="B4" s="8">
        <v>870</v>
      </c>
      <c r="E4" s="33" t="s">
        <v>43</v>
      </c>
      <c r="F4" s="33"/>
    </row>
    <row r="5" spans="1:6" x14ac:dyDescent="0.25">
      <c r="A5" s="4" t="s">
        <v>46</v>
      </c>
      <c r="B5" s="8">
        <v>14.2</v>
      </c>
      <c r="E5" s="34" t="s">
        <v>40</v>
      </c>
      <c r="F5" s="34"/>
    </row>
    <row r="6" spans="1:6" x14ac:dyDescent="0.25">
      <c r="A6" s="4" t="s">
        <v>47</v>
      </c>
      <c r="B6" s="8">
        <v>82</v>
      </c>
      <c r="E6" s="31" t="s">
        <v>41</v>
      </c>
      <c r="F6" s="31"/>
    </row>
    <row r="7" spans="1:6" x14ac:dyDescent="0.25">
      <c r="A7" s="4" t="s">
        <v>75</v>
      </c>
      <c r="B7" s="8">
        <v>442</v>
      </c>
    </row>
    <row r="8" spans="1:6" x14ac:dyDescent="0.25">
      <c r="A8" s="4" t="s">
        <v>76</v>
      </c>
      <c r="B8" s="8">
        <v>1480</v>
      </c>
    </row>
    <row r="9" spans="1:6" x14ac:dyDescent="0.25">
      <c r="A9" s="4" t="s">
        <v>9</v>
      </c>
      <c r="B9" s="8">
        <v>11.2</v>
      </c>
    </row>
    <row r="10" spans="1:6" x14ac:dyDescent="0.25">
      <c r="A10" s="4" t="s">
        <v>77</v>
      </c>
      <c r="B10" s="8">
        <v>220</v>
      </c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16</v>
      </c>
      <c r="C17" s="15" t="s">
        <v>21</v>
      </c>
      <c r="D17" s="15" t="s">
        <v>22</v>
      </c>
      <c r="E17" s="15" t="s">
        <v>23</v>
      </c>
      <c r="F17" s="15" t="s">
        <v>24</v>
      </c>
      <c r="G17" s="15" t="s">
        <v>25</v>
      </c>
      <c r="H17" s="15" t="s">
        <v>26</v>
      </c>
      <c r="I17" s="15" t="s">
        <v>27</v>
      </c>
      <c r="J17" s="15" t="s">
        <v>28</v>
      </c>
      <c r="K17" s="15" t="s">
        <v>29</v>
      </c>
      <c r="L17" s="16" t="s">
        <v>30</v>
      </c>
    </row>
    <row r="18" spans="1:13" x14ac:dyDescent="0.25">
      <c r="A18" s="11" t="s">
        <v>1</v>
      </c>
      <c r="B18" s="2" t="s">
        <v>45</v>
      </c>
      <c r="C18" s="2" t="s">
        <v>48</v>
      </c>
      <c r="D18" s="2" t="s">
        <v>78</v>
      </c>
      <c r="E18" s="2" t="s">
        <v>79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14</v>
      </c>
      <c r="B19" s="5">
        <v>1</v>
      </c>
      <c r="C19" s="5">
        <f>B19</f>
        <v>1</v>
      </c>
      <c r="D19" s="5">
        <f>4*B19</f>
        <v>4</v>
      </c>
      <c r="E19" s="5">
        <f>2*B19</f>
        <v>2</v>
      </c>
      <c r="F19" s="5"/>
      <c r="G19" s="5"/>
      <c r="H19" s="5"/>
      <c r="I19" s="5"/>
      <c r="J19" s="5"/>
      <c r="K19" s="5"/>
      <c r="L19" s="6"/>
      <c r="M19" t="s">
        <v>36</v>
      </c>
    </row>
    <row r="20" spans="1:13" x14ac:dyDescent="0.25">
      <c r="A20" s="12" t="s">
        <v>2</v>
      </c>
      <c r="B20" s="29">
        <v>0.124</v>
      </c>
      <c r="C20" s="29">
        <v>0.61</v>
      </c>
      <c r="D20" s="29">
        <v>2.67</v>
      </c>
      <c r="E20" s="29">
        <v>3.22</v>
      </c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66</v>
      </c>
      <c r="B21" s="27">
        <v>725</v>
      </c>
      <c r="C21" s="27">
        <v>621</v>
      </c>
      <c r="D21" s="27">
        <v>725</v>
      </c>
      <c r="E21" s="27">
        <v>725</v>
      </c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4</v>
      </c>
      <c r="B22" s="58">
        <f>8*B4</f>
        <v>6960</v>
      </c>
      <c r="C22" s="9">
        <f>8*B4+30*B6+15*B5</f>
        <v>9633</v>
      </c>
      <c r="D22" s="9">
        <f>4*B4+2*B7</f>
        <v>4364</v>
      </c>
      <c r="E22" s="9">
        <f>3*B9+5*B6+3*B10</f>
        <v>1103.5999999999999</v>
      </c>
      <c r="F22" s="9"/>
      <c r="G22" s="9"/>
      <c r="H22" s="9"/>
      <c r="I22" s="9"/>
      <c r="J22" s="9"/>
      <c r="K22" s="9"/>
      <c r="L22" s="10"/>
    </row>
    <row r="23" spans="1:13" x14ac:dyDescent="0.25">
      <c r="A23" s="12" t="s">
        <v>3</v>
      </c>
      <c r="B23" s="57">
        <f>IF(B19&gt;0,B21/B20,)</f>
        <v>5846.7741935483873</v>
      </c>
      <c r="C23" s="57">
        <f t="shared" ref="C23:L23" si="0">IF(C19&gt;0,C21/C20,)</f>
        <v>1018.032786885246</v>
      </c>
      <c r="D23" s="57">
        <f t="shared" si="0"/>
        <v>271.5355805243446</v>
      </c>
      <c r="E23" s="57">
        <f t="shared" si="0"/>
        <v>225.15527950310559</v>
      </c>
      <c r="F23" s="57">
        <f t="shared" si="0"/>
        <v>0</v>
      </c>
      <c r="G23" s="57">
        <f t="shared" si="0"/>
        <v>0</v>
      </c>
      <c r="H23" s="57">
        <f t="shared" si="0"/>
        <v>0</v>
      </c>
      <c r="I23" s="57">
        <f t="shared" si="0"/>
        <v>0</v>
      </c>
      <c r="J23" s="57">
        <f t="shared" si="0"/>
        <v>0</v>
      </c>
      <c r="K23" s="57">
        <f t="shared" si="0"/>
        <v>0</v>
      </c>
      <c r="L23" s="57">
        <f t="shared" si="0"/>
        <v>0</v>
      </c>
    </row>
    <row r="24" spans="1:13" ht="14.25" customHeight="1" x14ac:dyDescent="0.25">
      <c r="A24" s="11" t="s">
        <v>31</v>
      </c>
      <c r="B24" s="17">
        <f>SUMPRODUCT(B22:L22,B19:L19)</f>
        <v>36256.199999999997</v>
      </c>
    </row>
    <row r="25" spans="1:13" ht="14.25" customHeight="1" x14ac:dyDescent="0.25">
      <c r="A25" s="13" t="s">
        <v>34</v>
      </c>
      <c r="B25" s="18">
        <f>SUMPRODUCT(B23:L23,B19:L19)</f>
        <v>8401.2598615372226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15</v>
      </c>
      <c r="B28" s="40">
        <f>B19/B20</f>
        <v>8.064516129032258</v>
      </c>
      <c r="C28" s="20">
        <f t="shared" ref="C28:L28" si="1">IF(C19&gt;0,1/C20*C19,)</f>
        <v>1.639344262295082</v>
      </c>
      <c r="D28" s="20">
        <f t="shared" si="1"/>
        <v>1.4981273408239701</v>
      </c>
      <c r="E28" s="20">
        <f t="shared" si="1"/>
        <v>0.6211180124223602</v>
      </c>
      <c r="F28" s="20">
        <f t="shared" si="1"/>
        <v>0</v>
      </c>
      <c r="G28" s="20">
        <f t="shared" si="1"/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18</v>
      </c>
    </row>
    <row r="29" spans="1:13" x14ac:dyDescent="0.25">
      <c r="A29" s="22" t="s">
        <v>19</v>
      </c>
      <c r="B29" s="41">
        <f>B28/$B$31</f>
        <v>0.68209794475817376</v>
      </c>
      <c r="C29" s="37">
        <f t="shared" ref="C29:L29" si="2">C28/$B$31</f>
        <v>0.13865597565575991</v>
      </c>
      <c r="D29" s="37">
        <f t="shared" si="2"/>
        <v>0.1267118279400952</v>
      </c>
      <c r="E29" s="37">
        <f t="shared" si="2"/>
        <v>5.2534251645971142E-2</v>
      </c>
      <c r="F29" s="37">
        <f t="shared" si="2"/>
        <v>0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62</v>
      </c>
      <c r="B30" s="42">
        <f>B29*$B$48</f>
        <v>102.93391186220465</v>
      </c>
      <c r="C30" s="43">
        <f t="shared" ref="C30:L30" si="3">C29*$B$48</f>
        <v>20.924270608054716</v>
      </c>
      <c r="D30" s="43">
        <f t="shared" si="3"/>
        <v>19.121805349682962</v>
      </c>
      <c r="E30" s="43">
        <f t="shared" si="3"/>
        <v>7.9278292365921592</v>
      </c>
      <c r="F30" s="43">
        <f t="shared" si="3"/>
        <v>0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48">
        <f t="shared" si="3"/>
        <v>0</v>
      </c>
    </row>
    <row r="31" spans="1:13" x14ac:dyDescent="0.25">
      <c r="A31" s="12" t="s">
        <v>17</v>
      </c>
      <c r="B31" s="36">
        <f>SUM(B28:L28)</f>
        <v>11.82310574457367</v>
      </c>
    </row>
    <row r="32" spans="1:13" x14ac:dyDescent="0.25">
      <c r="A32" s="19" t="s">
        <v>35</v>
      </c>
      <c r="B32" s="49">
        <f>B29</f>
        <v>0.68209794475817376</v>
      </c>
    </row>
    <row r="33" spans="1:2" x14ac:dyDescent="0.25">
      <c r="A33" s="21" t="s">
        <v>57</v>
      </c>
      <c r="B33" s="47">
        <f>B32*B20</f>
        <v>8.4580145150013539E-2</v>
      </c>
    </row>
    <row r="36" spans="1:2" x14ac:dyDescent="0.25">
      <c r="A36" s="19" t="s">
        <v>13</v>
      </c>
      <c r="B36" s="44">
        <v>53</v>
      </c>
    </row>
    <row r="37" spans="1:2" x14ac:dyDescent="0.25">
      <c r="A37" s="22" t="s">
        <v>55</v>
      </c>
      <c r="B37" s="45">
        <v>52000</v>
      </c>
    </row>
    <row r="38" spans="1:2" x14ac:dyDescent="0.25">
      <c r="A38" s="22" t="s">
        <v>32</v>
      </c>
      <c r="B38" s="50">
        <v>0.13</v>
      </c>
    </row>
    <row r="39" spans="1:2" x14ac:dyDescent="0.25">
      <c r="A39" s="22" t="s">
        <v>33</v>
      </c>
      <c r="B39" s="50">
        <v>0.35</v>
      </c>
    </row>
    <row r="40" spans="1:2" x14ac:dyDescent="0.25">
      <c r="A40" s="21" t="s">
        <v>56</v>
      </c>
      <c r="B40" s="51">
        <v>0</v>
      </c>
    </row>
    <row r="41" spans="1:2" x14ac:dyDescent="0.25">
      <c r="A41" s="22" t="s">
        <v>38</v>
      </c>
      <c r="B41" s="52">
        <f>B37-B43</f>
        <v>6802.4279089469783</v>
      </c>
    </row>
    <row r="42" spans="1:2" x14ac:dyDescent="0.25">
      <c r="A42" s="22" t="s">
        <v>51</v>
      </c>
      <c r="B42" s="53">
        <f>B36*B32*B20*24</f>
        <v>107.58594463081724</v>
      </c>
    </row>
    <row r="43" spans="1:2" x14ac:dyDescent="0.25">
      <c r="A43" s="22" t="s">
        <v>37</v>
      </c>
      <c r="B43" s="52">
        <f>B24+B25*(1+B36/170*(1-B39))/(1+B38)</f>
        <v>45197.572091053022</v>
      </c>
    </row>
    <row r="44" spans="1:2" x14ac:dyDescent="0.25">
      <c r="A44" s="21" t="s">
        <v>44</v>
      </c>
      <c r="B44" s="54">
        <f>B43-B24-B25</f>
        <v>540.11222951580203</v>
      </c>
    </row>
    <row r="45" spans="1:2" x14ac:dyDescent="0.25">
      <c r="A45" s="21" t="s">
        <v>20</v>
      </c>
      <c r="B45" s="55">
        <f>Profit(B36,B37,B24,B25,B33,B38,B39,B40)*24</f>
        <v>859888.33656007249</v>
      </c>
    </row>
    <row r="46" spans="1:2" ht="16.5" customHeight="1" x14ac:dyDescent="0.25"/>
    <row r="48" spans="1:2" x14ac:dyDescent="0.25">
      <c r="A48" s="19" t="s">
        <v>58</v>
      </c>
      <c r="B48" s="56">
        <f>OBL(B37,B24,B25,B33,B38,B39,0)</f>
        <v>150.9078170565345</v>
      </c>
    </row>
    <row r="49" spans="1:2" x14ac:dyDescent="0.25">
      <c r="A49" s="21" t="s">
        <v>59</v>
      </c>
      <c r="B49" s="55">
        <f>Profit(B48,B37,B24,B25,B33,B38,B39,0)*24</f>
        <v>1484950.568890254</v>
      </c>
    </row>
    <row r="50" spans="1:2" x14ac:dyDescent="0.25">
      <c r="A50" s="19" t="s">
        <v>60</v>
      </c>
      <c r="B50" s="56">
        <f>OBL(B37,B24,B25,B33,B38,B39,1)</f>
        <v>159.6194783294963</v>
      </c>
    </row>
    <row r="51" spans="1:2" x14ac:dyDescent="0.25">
      <c r="A51" s="21" t="s">
        <v>61</v>
      </c>
      <c r="B51" s="55">
        <f>Profit(B50,B37,B24,B25,B33,B38,B39,1)*24</f>
        <v>1611506.3893359979</v>
      </c>
    </row>
    <row r="54" spans="1:2" x14ac:dyDescent="0.25">
      <c r="A54" t="s">
        <v>50</v>
      </c>
    </row>
    <row r="55" spans="1:2" x14ac:dyDescent="0.25">
      <c r="A55" t="s">
        <v>52</v>
      </c>
    </row>
    <row r="56" spans="1:2" x14ac:dyDescent="0.25">
      <c r="A56" t="s">
        <v>53</v>
      </c>
    </row>
    <row r="57" spans="1:2" x14ac:dyDescent="0.25">
      <c r="A57" t="s">
        <v>54</v>
      </c>
    </row>
  </sheetData>
  <sheetProtection select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2:M57"/>
  <sheetViews>
    <sheetView topLeftCell="A19" zoomScale="70" zoomScaleNormal="70" workbookViewId="0">
      <selection activeCell="B43" sqref="B43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5</v>
      </c>
      <c r="B2" s="24" t="s">
        <v>6</v>
      </c>
      <c r="E2" s="35" t="s">
        <v>39</v>
      </c>
    </row>
    <row r="3" spans="1:6" x14ac:dyDescent="0.25">
      <c r="A3" s="22" t="s">
        <v>11</v>
      </c>
      <c r="B3" s="23" t="s">
        <v>12</v>
      </c>
      <c r="E3" s="32" t="s">
        <v>42</v>
      </c>
      <c r="F3" s="32"/>
    </row>
    <row r="4" spans="1:6" x14ac:dyDescent="0.25">
      <c r="A4" s="1" t="s">
        <v>67</v>
      </c>
      <c r="B4" s="26">
        <v>6450</v>
      </c>
      <c r="E4" s="33" t="s">
        <v>43</v>
      </c>
      <c r="F4" s="33"/>
    </row>
    <row r="5" spans="1:6" x14ac:dyDescent="0.25">
      <c r="A5" s="4" t="s">
        <v>68</v>
      </c>
      <c r="B5" s="8">
        <v>62</v>
      </c>
      <c r="E5" s="34" t="s">
        <v>40</v>
      </c>
      <c r="F5" s="34"/>
    </row>
    <row r="6" spans="1:6" x14ac:dyDescent="0.25">
      <c r="A6" s="4" t="s">
        <v>49</v>
      </c>
      <c r="B6" s="8">
        <v>18.3</v>
      </c>
      <c r="E6" s="31" t="s">
        <v>41</v>
      </c>
      <c r="F6" s="31"/>
    </row>
    <row r="7" spans="1:6" x14ac:dyDescent="0.25">
      <c r="A7" s="4" t="s">
        <v>10</v>
      </c>
      <c r="B7" s="8">
        <v>870</v>
      </c>
    </row>
    <row r="8" spans="1:6" x14ac:dyDescent="0.25">
      <c r="A8" s="4" t="s">
        <v>69</v>
      </c>
      <c r="B8" s="8">
        <v>114</v>
      </c>
    </row>
    <row r="9" spans="1:6" x14ac:dyDescent="0.25">
      <c r="A9" s="4" t="s">
        <v>70</v>
      </c>
      <c r="B9" s="8">
        <v>312</v>
      </c>
    </row>
    <row r="10" spans="1:6" x14ac:dyDescent="0.25">
      <c r="A10" s="4" t="s">
        <v>7</v>
      </c>
      <c r="B10" s="8">
        <v>2780</v>
      </c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16</v>
      </c>
      <c r="C17" s="15" t="s">
        <v>21</v>
      </c>
      <c r="D17" s="15" t="s">
        <v>22</v>
      </c>
      <c r="E17" s="15" t="s">
        <v>23</v>
      </c>
      <c r="F17" s="15" t="s">
        <v>24</v>
      </c>
      <c r="G17" s="15" t="s">
        <v>25</v>
      </c>
      <c r="H17" s="15" t="s">
        <v>26</v>
      </c>
      <c r="I17" s="15" t="s">
        <v>27</v>
      </c>
      <c r="J17" s="15" t="s">
        <v>28</v>
      </c>
      <c r="K17" s="15" t="s">
        <v>29</v>
      </c>
      <c r="L17" s="16" t="s">
        <v>30</v>
      </c>
    </row>
    <row r="18" spans="1:13" x14ac:dyDescent="0.25">
      <c r="A18" s="11" t="s">
        <v>1</v>
      </c>
      <c r="B18" s="2" t="s">
        <v>63</v>
      </c>
      <c r="C18" s="2" t="s">
        <v>64</v>
      </c>
      <c r="D18" s="2" t="s">
        <v>8</v>
      </c>
      <c r="E18" s="2" t="s">
        <v>65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14</v>
      </c>
      <c r="B19" s="5">
        <v>1</v>
      </c>
      <c r="C19" s="5">
        <v>2</v>
      </c>
      <c r="D19" s="5">
        <v>1</v>
      </c>
      <c r="E19" s="5">
        <v>2</v>
      </c>
      <c r="F19" s="5"/>
      <c r="G19" s="5"/>
      <c r="H19" s="5"/>
      <c r="I19" s="5"/>
      <c r="J19" s="5"/>
      <c r="K19" s="5"/>
      <c r="L19" s="6"/>
      <c r="M19" t="s">
        <v>36</v>
      </c>
    </row>
    <row r="20" spans="1:13" x14ac:dyDescent="0.25">
      <c r="A20" s="12" t="s">
        <v>2</v>
      </c>
      <c r="B20" s="29">
        <v>0.17</v>
      </c>
      <c r="C20" s="29">
        <v>8.11</v>
      </c>
      <c r="D20" s="29">
        <v>2.2599999999999998</v>
      </c>
      <c r="E20" s="29">
        <v>0.88</v>
      </c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66</v>
      </c>
      <c r="B21" s="27">
        <v>759</v>
      </c>
      <c r="C21" s="27">
        <v>587</v>
      </c>
      <c r="D21" s="27">
        <v>725</v>
      </c>
      <c r="E21" s="27">
        <v>621</v>
      </c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4</v>
      </c>
      <c r="B22" s="58">
        <f>2*B4+14*B10</f>
        <v>51820</v>
      </c>
      <c r="C22" s="9">
        <v>2229.5</v>
      </c>
      <c r="D22" s="9">
        <v>5058</v>
      </c>
      <c r="E22" s="9">
        <v>3839.5</v>
      </c>
      <c r="F22" s="9"/>
      <c r="G22" s="9"/>
      <c r="H22" s="9"/>
      <c r="I22" s="9"/>
      <c r="J22" s="9"/>
      <c r="K22" s="9"/>
      <c r="L22" s="10"/>
    </row>
    <row r="23" spans="1:13" x14ac:dyDescent="0.25">
      <c r="A23" s="12" t="s">
        <v>3</v>
      </c>
      <c r="B23" s="57">
        <f>IF(B19&gt;0,B21/B20,)</f>
        <v>4464.7058823529405</v>
      </c>
      <c r="C23" s="57">
        <f t="shared" ref="C23:L23" si="0">IF(C19&gt;0,C21/C20,)</f>
        <v>72.379778051787923</v>
      </c>
      <c r="D23" s="57">
        <f t="shared" si="0"/>
        <v>320.79646017699116</v>
      </c>
      <c r="E23" s="57">
        <f t="shared" si="0"/>
        <v>705.68181818181813</v>
      </c>
      <c r="F23" s="57">
        <f t="shared" si="0"/>
        <v>0</v>
      </c>
      <c r="G23" s="57">
        <f t="shared" si="0"/>
        <v>0</v>
      </c>
      <c r="H23" s="57">
        <f t="shared" si="0"/>
        <v>0</v>
      </c>
      <c r="I23" s="57">
        <f t="shared" si="0"/>
        <v>0</v>
      </c>
      <c r="J23" s="57">
        <f t="shared" si="0"/>
        <v>0</v>
      </c>
      <c r="K23" s="57">
        <f t="shared" si="0"/>
        <v>0</v>
      </c>
      <c r="L23" s="57">
        <f t="shared" si="0"/>
        <v>0</v>
      </c>
    </row>
    <row r="24" spans="1:13" ht="14.25" customHeight="1" x14ac:dyDescent="0.25">
      <c r="A24" s="11" t="s">
        <v>31</v>
      </c>
      <c r="B24" s="17">
        <f>SUMPRODUCT(B22:L22,B19:L19)</f>
        <v>69016</v>
      </c>
    </row>
    <row r="25" spans="1:13" ht="14.25" customHeight="1" x14ac:dyDescent="0.25">
      <c r="A25" s="13" t="s">
        <v>34</v>
      </c>
      <c r="B25" s="18">
        <f>SUMPRODUCT(B23:L23,B19:L19)</f>
        <v>6341.6255349971434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15</v>
      </c>
      <c r="B28" s="40">
        <f>B19/B20</f>
        <v>5.8823529411764701</v>
      </c>
      <c r="C28" s="20">
        <f>IF(C19&gt;0,1/C20*C19,)</f>
        <v>0.24660912453760792</v>
      </c>
      <c r="D28" s="20">
        <f>IF(D19&gt;0,1/D20*D19,)</f>
        <v>0.44247787610619471</v>
      </c>
      <c r="E28" s="20">
        <f>IF(E19&gt;0,1/E20*E19,)</f>
        <v>2.2727272727272729</v>
      </c>
      <c r="F28" s="20">
        <f t="shared" ref="F28:L28" si="1">IF(F19&gt;0,1/F20*F19,)</f>
        <v>0</v>
      </c>
      <c r="G28" s="20">
        <f t="shared" si="1"/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18</v>
      </c>
    </row>
    <row r="29" spans="1:13" x14ac:dyDescent="0.25">
      <c r="A29" s="22" t="s">
        <v>19</v>
      </c>
      <c r="B29" s="41">
        <f>B28/$B$31</f>
        <v>0.66511100462921335</v>
      </c>
      <c r="C29" s="37">
        <f t="shared" ref="C29:L29" si="2">C28/$B$31</f>
        <v>2.7883815237229666E-2</v>
      </c>
      <c r="D29" s="37">
        <f t="shared" si="2"/>
        <v>5.0030473799542605E-2</v>
      </c>
      <c r="E29" s="37">
        <f t="shared" si="2"/>
        <v>0.25697470633401431</v>
      </c>
      <c r="F29" s="37">
        <f t="shared" si="2"/>
        <v>0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62</v>
      </c>
      <c r="B30" s="42">
        <f>B29*$B$48</f>
        <v>89.757073058930061</v>
      </c>
      <c r="C30" s="43">
        <f t="shared" ref="C30:L30" si="3">C29*$B$48</f>
        <v>3.7629352453805462</v>
      </c>
      <c r="D30" s="43">
        <f t="shared" si="3"/>
        <v>6.7516382389460681</v>
      </c>
      <c r="E30" s="43">
        <f t="shared" si="3"/>
        <v>34.678869136404806</v>
      </c>
      <c r="F30" s="43">
        <f t="shared" si="3"/>
        <v>0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48">
        <f t="shared" si="3"/>
        <v>0</v>
      </c>
    </row>
    <row r="31" spans="1:13" x14ac:dyDescent="0.25">
      <c r="A31" s="12" t="s">
        <v>17</v>
      </c>
      <c r="B31" s="36">
        <f>SUM(B28:L28)</f>
        <v>8.8441672145475465</v>
      </c>
    </row>
    <row r="32" spans="1:13" x14ac:dyDescent="0.25">
      <c r="A32" s="19" t="s">
        <v>35</v>
      </c>
      <c r="B32" s="49">
        <f>B29</f>
        <v>0.66511100462921335</v>
      </c>
    </row>
    <row r="33" spans="1:2" x14ac:dyDescent="0.25">
      <c r="A33" s="21" t="s">
        <v>57</v>
      </c>
      <c r="B33" s="47">
        <f>B32*B20</f>
        <v>0.11306887078696627</v>
      </c>
    </row>
    <row r="36" spans="1:2" x14ac:dyDescent="0.25">
      <c r="A36" s="19" t="s">
        <v>13</v>
      </c>
      <c r="B36" s="44">
        <v>53</v>
      </c>
    </row>
    <row r="37" spans="1:2" x14ac:dyDescent="0.25">
      <c r="A37" s="22" t="s">
        <v>55</v>
      </c>
      <c r="B37" s="45">
        <v>81000</v>
      </c>
    </row>
    <row r="38" spans="1:2" x14ac:dyDescent="0.25">
      <c r="A38" s="22" t="s">
        <v>32</v>
      </c>
      <c r="B38" s="50">
        <v>7.0000000000000007E-2</v>
      </c>
    </row>
    <row r="39" spans="1:2" x14ac:dyDescent="0.25">
      <c r="A39" s="22" t="s">
        <v>33</v>
      </c>
      <c r="B39" s="50">
        <v>0.35</v>
      </c>
    </row>
    <row r="40" spans="1:2" x14ac:dyDescent="0.25">
      <c r="A40" s="21" t="s">
        <v>56</v>
      </c>
      <c r="B40" s="51">
        <v>0</v>
      </c>
    </row>
    <row r="41" spans="1:2" x14ac:dyDescent="0.25">
      <c r="A41" s="22" t="s">
        <v>38</v>
      </c>
      <c r="B41" s="52">
        <f>B37-B43</f>
        <v>4856.2081328742934</v>
      </c>
    </row>
    <row r="42" spans="1:2" x14ac:dyDescent="0.25">
      <c r="A42" s="22" t="s">
        <v>51</v>
      </c>
      <c r="B42" s="53">
        <f>B36*B32*B20*24</f>
        <v>143.82360364102109</v>
      </c>
    </row>
    <row r="43" spans="1:2" x14ac:dyDescent="0.25">
      <c r="A43" s="22" t="s">
        <v>37</v>
      </c>
      <c r="B43" s="52">
        <f>B24+B25*(1+B36/170*(1-B39))/(1+B38)</f>
        <v>76143.791867125707</v>
      </c>
    </row>
    <row r="44" spans="1:2" x14ac:dyDescent="0.25">
      <c r="A44" s="21" t="s">
        <v>44</v>
      </c>
      <c r="B44" s="54">
        <f>B43-B24-B25</f>
        <v>786.16633212856323</v>
      </c>
    </row>
    <row r="45" spans="1:2" x14ac:dyDescent="0.25">
      <c r="A45" s="21" t="s">
        <v>20</v>
      </c>
      <c r="B45" s="55">
        <f>Profit(B36,B37,B24,B25,B33,B38,B39,B40)*24</f>
        <v>756409.21335583937</v>
      </c>
    </row>
    <row r="46" spans="1:2" ht="16.5" customHeight="1" x14ac:dyDescent="0.25"/>
    <row r="48" spans="1:2" x14ac:dyDescent="0.25">
      <c r="A48" s="19" t="s">
        <v>58</v>
      </c>
      <c r="B48" s="56">
        <f>OBL(B37,B24,B25,B33,B38,B39,0)</f>
        <v>134.95051567966149</v>
      </c>
    </row>
    <row r="49" spans="1:2" x14ac:dyDescent="0.25">
      <c r="A49" s="21" t="s">
        <v>59</v>
      </c>
      <c r="B49" s="55">
        <f>Profit(B48,B37,B24,B25,B33,B38,B39,0)*24</f>
        <v>1198307.8939775145</v>
      </c>
    </row>
    <row r="50" spans="1:2" x14ac:dyDescent="0.25">
      <c r="A50" s="19" t="s">
        <v>60</v>
      </c>
      <c r="B50" s="56">
        <f>OBL(B37,B24,B25,B33,B38,B39,1)</f>
        <v>143.16865216777154</v>
      </c>
    </row>
    <row r="51" spans="1:2" x14ac:dyDescent="0.25">
      <c r="A51" s="21" t="s">
        <v>61</v>
      </c>
      <c r="B51" s="55">
        <f>Profit(B50,B37,B24,B25,B33,B38,B39,1)*24</f>
        <v>1308238.5141034522</v>
      </c>
    </row>
    <row r="54" spans="1:2" x14ac:dyDescent="0.25">
      <c r="A54" t="s">
        <v>50</v>
      </c>
    </row>
    <row r="55" spans="1:2" x14ac:dyDescent="0.25">
      <c r="A55" t="s">
        <v>52</v>
      </c>
    </row>
    <row r="56" spans="1:2" x14ac:dyDescent="0.25">
      <c r="A56" t="s">
        <v>53</v>
      </c>
    </row>
    <row r="57" spans="1:2" x14ac:dyDescent="0.25">
      <c r="A57" t="s">
        <v>54</v>
      </c>
    </row>
  </sheetData>
  <sheetProtection select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M57"/>
  <sheetViews>
    <sheetView tabSelected="1" topLeftCell="A20" zoomScale="70" zoomScaleNormal="70" workbookViewId="0">
      <selection activeCell="D41" sqref="D41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5</v>
      </c>
      <c r="B2" s="24" t="s">
        <v>6</v>
      </c>
      <c r="E2" s="35" t="s">
        <v>39</v>
      </c>
    </row>
    <row r="3" spans="1:6" x14ac:dyDescent="0.25">
      <c r="A3" s="22" t="s">
        <v>11</v>
      </c>
      <c r="B3" s="23" t="s">
        <v>12</v>
      </c>
      <c r="E3" s="32" t="s">
        <v>42</v>
      </c>
      <c r="F3" s="32"/>
    </row>
    <row r="4" spans="1:6" x14ac:dyDescent="0.25">
      <c r="A4" s="1" t="s">
        <v>67</v>
      </c>
      <c r="B4" s="26">
        <v>6450</v>
      </c>
      <c r="E4" s="33" t="s">
        <v>43</v>
      </c>
      <c r="F4" s="33"/>
    </row>
    <row r="5" spans="1:6" x14ac:dyDescent="0.25">
      <c r="A5" s="4" t="s">
        <v>68</v>
      </c>
      <c r="B5" s="8">
        <v>62</v>
      </c>
      <c r="E5" s="34" t="s">
        <v>40</v>
      </c>
      <c r="F5" s="34"/>
    </row>
    <row r="6" spans="1:6" x14ac:dyDescent="0.25">
      <c r="A6" s="4" t="s">
        <v>49</v>
      </c>
      <c r="B6" s="8">
        <v>18.3</v>
      </c>
      <c r="E6" s="31" t="s">
        <v>41</v>
      </c>
      <c r="F6" s="31"/>
    </row>
    <row r="7" spans="1:6" x14ac:dyDescent="0.25">
      <c r="A7" s="4" t="s">
        <v>10</v>
      </c>
      <c r="B7" s="8">
        <v>870</v>
      </c>
    </row>
    <row r="8" spans="1:6" x14ac:dyDescent="0.25">
      <c r="A8" s="4" t="s">
        <v>69</v>
      </c>
      <c r="B8" s="8">
        <v>114</v>
      </c>
    </row>
    <row r="9" spans="1:6" x14ac:dyDescent="0.25">
      <c r="A9" s="4" t="s">
        <v>70</v>
      </c>
      <c r="B9" s="8">
        <v>312</v>
      </c>
    </row>
    <row r="10" spans="1:6" x14ac:dyDescent="0.25">
      <c r="A10" s="4" t="s">
        <v>7</v>
      </c>
      <c r="B10" s="8">
        <v>2800</v>
      </c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16</v>
      </c>
      <c r="C17" s="15" t="s">
        <v>21</v>
      </c>
      <c r="D17" s="15" t="s">
        <v>22</v>
      </c>
      <c r="E17" s="15" t="s">
        <v>23</v>
      </c>
      <c r="F17" s="15" t="s">
        <v>24</v>
      </c>
      <c r="G17" s="15" t="s">
        <v>25</v>
      </c>
      <c r="H17" s="15" t="s">
        <v>26</v>
      </c>
      <c r="I17" s="15" t="s">
        <v>27</v>
      </c>
      <c r="J17" s="15" t="s">
        <v>28</v>
      </c>
      <c r="K17" s="15" t="s">
        <v>29</v>
      </c>
      <c r="L17" s="16" t="s">
        <v>30</v>
      </c>
    </row>
    <row r="18" spans="1:13" x14ac:dyDescent="0.25">
      <c r="A18" s="11" t="s">
        <v>1</v>
      </c>
      <c r="B18" s="2" t="s">
        <v>74</v>
      </c>
      <c r="C18" s="2" t="s">
        <v>64</v>
      </c>
      <c r="D18" s="2" t="s">
        <v>8</v>
      </c>
      <c r="E18" s="2" t="s">
        <v>65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14</v>
      </c>
      <c r="B19" s="5">
        <v>1</v>
      </c>
      <c r="C19" s="5">
        <v>10</v>
      </c>
      <c r="D19" s="5">
        <v>2</v>
      </c>
      <c r="E19" s="5">
        <v>4</v>
      </c>
      <c r="F19" s="5"/>
      <c r="G19" s="5"/>
      <c r="H19" s="5"/>
      <c r="I19" s="5"/>
      <c r="J19" s="5"/>
      <c r="K19" s="5"/>
      <c r="L19" s="6"/>
      <c r="M19" t="s">
        <v>36</v>
      </c>
    </row>
    <row r="20" spans="1:13" x14ac:dyDescent="0.25">
      <c r="A20" s="12" t="s">
        <v>2</v>
      </c>
      <c r="B20" s="29">
        <v>7.0000000000000007E-2</v>
      </c>
      <c r="C20" s="29">
        <v>8.11</v>
      </c>
      <c r="D20" s="29">
        <v>2.2599999999999998</v>
      </c>
      <c r="E20" s="29">
        <v>0.88</v>
      </c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66</v>
      </c>
      <c r="B21" s="27">
        <v>759</v>
      </c>
      <c r="C21" s="27">
        <v>587</v>
      </c>
      <c r="D21" s="27">
        <v>725</v>
      </c>
      <c r="E21" s="27">
        <v>621</v>
      </c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4</v>
      </c>
      <c r="B22" s="7">
        <f>140*B9+40*B10</f>
        <v>155680</v>
      </c>
      <c r="C22" s="9">
        <v>2229.5</v>
      </c>
      <c r="D22" s="9">
        <v>5058</v>
      </c>
      <c r="E22" s="9">
        <v>3839.5</v>
      </c>
      <c r="F22" s="9"/>
      <c r="G22" s="9"/>
      <c r="H22" s="9"/>
      <c r="I22" s="9"/>
      <c r="J22" s="9"/>
      <c r="K22" s="9"/>
      <c r="L22" s="10"/>
    </row>
    <row r="23" spans="1:13" x14ac:dyDescent="0.25">
      <c r="A23" s="12" t="s">
        <v>3</v>
      </c>
      <c r="B23" s="57">
        <f>IF(B19&gt;0,B21/B20,)</f>
        <v>10842.857142857141</v>
      </c>
      <c r="C23" s="57">
        <f>IF(C19&gt;0,C21/C20,)</f>
        <v>72.379778051787923</v>
      </c>
      <c r="D23" s="57">
        <f>IF(D19&gt;0,D21/D20,)</f>
        <v>320.79646017699116</v>
      </c>
      <c r="E23" s="57">
        <f>IF(E19&gt;0,E21/E20,)</f>
        <v>705.68181818181813</v>
      </c>
      <c r="F23" s="57">
        <f>IF(F19&gt;0,F21/F20,)</f>
        <v>0</v>
      </c>
      <c r="G23" s="57">
        <f t="shared" ref="G23:L23" si="0">IF(G19&gt;0,G21/G20,)</f>
        <v>0</v>
      </c>
      <c r="H23" s="57">
        <f t="shared" si="0"/>
        <v>0</v>
      </c>
      <c r="I23" s="57">
        <f t="shared" si="0"/>
        <v>0</v>
      </c>
      <c r="J23" s="57">
        <f t="shared" si="0"/>
        <v>0</v>
      </c>
      <c r="K23" s="57">
        <f t="shared" si="0"/>
        <v>0</v>
      </c>
      <c r="L23" s="57">
        <f t="shared" si="0"/>
        <v>0</v>
      </c>
    </row>
    <row r="24" spans="1:13" ht="14.25" customHeight="1" x14ac:dyDescent="0.25">
      <c r="A24" s="11" t="s">
        <v>31</v>
      </c>
      <c r="B24" s="17">
        <f>SUMPRODUCT(B22:L22,B19:L19)</f>
        <v>203449</v>
      </c>
    </row>
    <row r="25" spans="1:13" ht="14.25" customHeight="1" x14ac:dyDescent="0.25">
      <c r="A25" s="13" t="s">
        <v>34</v>
      </c>
      <c r="B25" s="18">
        <f>SUMPRODUCT(B23:L23,B19:L19)</f>
        <v>15030.975116456275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15</v>
      </c>
      <c r="B28" s="40">
        <f>B19/B20</f>
        <v>14.285714285714285</v>
      </c>
      <c r="C28" s="20">
        <f>IF(C19&gt;0,1/C20*C19,)</f>
        <v>1.2330456226880395</v>
      </c>
      <c r="D28" s="20">
        <f>IF(D19&gt;0,1/D20*D19,)</f>
        <v>0.88495575221238942</v>
      </c>
      <c r="E28" s="20">
        <f>IF(E19&gt;0,1/E20*E19,)</f>
        <v>4.5454545454545459</v>
      </c>
      <c r="F28" s="20">
        <f>IF(F19&gt;0,1/F20*F19,)</f>
        <v>0</v>
      </c>
      <c r="G28" s="20">
        <f t="shared" ref="G28:L28" si="1">IF(G19&gt;0,1/G20*G19,)</f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18</v>
      </c>
    </row>
    <row r="29" spans="1:13" x14ac:dyDescent="0.25">
      <c r="A29" s="22" t="s">
        <v>19</v>
      </c>
      <c r="B29" s="41">
        <f>B28/$B$31</f>
        <v>0.68192267976206145</v>
      </c>
      <c r="C29" s="37">
        <f t="shared" ref="C29:L29" si="2">C28/$B$31</f>
        <v>5.8858924270461535E-2</v>
      </c>
      <c r="D29" s="37">
        <f t="shared" si="2"/>
        <v>4.2242997861366642E-2</v>
      </c>
      <c r="E29" s="37">
        <f t="shared" si="2"/>
        <v>0.2169753981061105</v>
      </c>
      <c r="F29" s="37">
        <f t="shared" si="2"/>
        <v>0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62</v>
      </c>
      <c r="B30" s="42">
        <f>B29*$B$48</f>
        <v>48.305021926824949</v>
      </c>
      <c r="C30" s="43">
        <f t="shared" ref="C30:L30" si="3">C29*$B$48</f>
        <v>4.1693607088504896</v>
      </c>
      <c r="D30" s="43">
        <f t="shared" si="3"/>
        <v>2.9923464910422539</v>
      </c>
      <c r="E30" s="43">
        <f t="shared" si="3"/>
        <v>15.36977970398976</v>
      </c>
      <c r="F30" s="43">
        <f t="shared" si="3"/>
        <v>0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48">
        <f t="shared" si="3"/>
        <v>0</v>
      </c>
    </row>
    <row r="31" spans="1:13" x14ac:dyDescent="0.25">
      <c r="A31" s="12" t="s">
        <v>17</v>
      </c>
      <c r="B31" s="36">
        <f>SUM(B28:L28)</f>
        <v>20.949170206069258</v>
      </c>
    </row>
    <row r="32" spans="1:13" x14ac:dyDescent="0.25">
      <c r="A32" s="19" t="s">
        <v>35</v>
      </c>
      <c r="B32" s="49">
        <f>B29</f>
        <v>0.68192267976206145</v>
      </c>
    </row>
    <row r="33" spans="1:7" x14ac:dyDescent="0.25">
      <c r="A33" s="21" t="s">
        <v>57</v>
      </c>
      <c r="B33" s="47">
        <f>B32*B20</f>
        <v>4.7734587583344305E-2</v>
      </c>
    </row>
    <row r="35" spans="1:7" x14ac:dyDescent="0.25">
      <c r="D35">
        <f>B29*8</f>
        <v>5.4553814380964916</v>
      </c>
      <c r="E35">
        <f t="shared" ref="E35:G35" si="4">C29*8</f>
        <v>0.47087139416369228</v>
      </c>
      <c r="F35">
        <f t="shared" si="4"/>
        <v>0.33794398289093314</v>
      </c>
      <c r="G35">
        <f t="shared" si="4"/>
        <v>1.735803184848884</v>
      </c>
    </row>
    <row r="36" spans="1:7" x14ac:dyDescent="0.25">
      <c r="A36" s="19" t="s">
        <v>13</v>
      </c>
      <c r="B36" s="44">
        <v>80</v>
      </c>
      <c r="E36" s="46"/>
    </row>
    <row r="37" spans="1:7" x14ac:dyDescent="0.25">
      <c r="A37" s="22" t="s">
        <v>55</v>
      </c>
      <c r="B37" s="45">
        <v>225000</v>
      </c>
    </row>
    <row r="38" spans="1:7" x14ac:dyDescent="0.25">
      <c r="A38" s="22" t="s">
        <v>32</v>
      </c>
      <c r="B38" s="50">
        <v>7.0000000000000007E-2</v>
      </c>
    </row>
    <row r="39" spans="1:7" x14ac:dyDescent="0.25">
      <c r="A39" s="22" t="s">
        <v>33</v>
      </c>
      <c r="B39" s="50">
        <v>0.35</v>
      </c>
    </row>
    <row r="40" spans="1:7" x14ac:dyDescent="0.25">
      <c r="A40" s="21" t="s">
        <v>56</v>
      </c>
      <c r="B40" s="51">
        <v>0</v>
      </c>
    </row>
    <row r="41" spans="1:7" x14ac:dyDescent="0.25">
      <c r="A41" s="22" t="s">
        <v>38</v>
      </c>
      <c r="B41" s="52">
        <f>B37-B43</f>
        <v>3206.4344373100903</v>
      </c>
    </row>
    <row r="42" spans="1:7" x14ac:dyDescent="0.25">
      <c r="A42" s="22" t="s">
        <v>51</v>
      </c>
      <c r="B42" s="53">
        <f>B36*B32*B20*24</f>
        <v>91.650408160021072</v>
      </c>
    </row>
    <row r="43" spans="1:7" x14ac:dyDescent="0.25">
      <c r="A43" s="22" t="s">
        <v>37</v>
      </c>
      <c r="B43" s="52">
        <f>B24+B25*(1+B36/170*(1-B39))/(1+B38)</f>
        <v>221793.56556268991</v>
      </c>
      <c r="D43" s="59"/>
      <c r="E43" s="59"/>
    </row>
    <row r="44" spans="1:7" x14ac:dyDescent="0.25">
      <c r="A44" s="21" t="s">
        <v>44</v>
      </c>
      <c r="B44" s="54">
        <f>B43-B24-B25</f>
        <v>3313.5904462336348</v>
      </c>
    </row>
    <row r="45" spans="1:7" x14ac:dyDescent="0.25">
      <c r="A45" s="21" t="s">
        <v>20</v>
      </c>
      <c r="B45" s="55">
        <f>Profit(B36,B37,B24,B25,B33,B38,B39,B40)*24</f>
        <v>324848.74480007763</v>
      </c>
    </row>
    <row r="46" spans="1:7" ht="16.5" customHeight="1" x14ac:dyDescent="0.25"/>
    <row r="48" spans="1:7" x14ac:dyDescent="0.25">
      <c r="A48" s="19" t="s">
        <v>58</v>
      </c>
      <c r="B48" s="56">
        <f>OBL(B37,B24,B25,B33,B38,B39,0)</f>
        <v>70.836508830707444</v>
      </c>
    </row>
    <row r="49" spans="1:2" x14ac:dyDescent="0.25">
      <c r="A49" s="21" t="s">
        <v>59</v>
      </c>
      <c r="B49" s="55">
        <f>Profit(B48,B37,B24,B25,B33,B38,B39,0)*24</f>
        <v>330377.38004919642</v>
      </c>
    </row>
    <row r="50" spans="1:2" x14ac:dyDescent="0.25">
      <c r="A50" s="19" t="s">
        <v>60</v>
      </c>
      <c r="B50" s="56">
        <f>OBL(B37,B24,B25,B33,B38,B39,1)</f>
        <v>77.07173789049935</v>
      </c>
    </row>
    <row r="51" spans="1:2" x14ac:dyDescent="0.25">
      <c r="A51" s="21" t="s">
        <v>61</v>
      </c>
      <c r="B51" s="55">
        <f>Profit(B50,B37,B24,B25,B33,B38,B39,1)*24</f>
        <v>379365.68542761472</v>
      </c>
    </row>
    <row r="54" spans="1:2" x14ac:dyDescent="0.25">
      <c r="A54" t="s">
        <v>50</v>
      </c>
    </row>
    <row r="55" spans="1:2" x14ac:dyDescent="0.25">
      <c r="A55" t="s">
        <v>52</v>
      </c>
    </row>
    <row r="56" spans="1:2" x14ac:dyDescent="0.25">
      <c r="A56" t="s">
        <v>53</v>
      </c>
    </row>
    <row r="57" spans="1:2" x14ac:dyDescent="0.25">
      <c r="A57" t="s">
        <v>54</v>
      </c>
    </row>
  </sheetData>
  <sheetProtection select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SEP-Win-Coc-CE</vt:lpstr>
      <vt:lpstr>SAT-Ion-FC-AtC</vt:lpstr>
      <vt:lpstr>Lux-Win-Coc-JE</vt:lpstr>
      <vt:lpstr>Jum-Win-Coc-JE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</dc:creator>
  <cp:lastModifiedBy>OF</cp:lastModifiedBy>
  <dcterms:created xsi:type="dcterms:W3CDTF">2021-07-09T21:28:07Z</dcterms:created>
  <dcterms:modified xsi:type="dcterms:W3CDTF">2021-09-01T15:25:44Z</dcterms:modified>
</cp:coreProperties>
</file>