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1"/>
  </bookViews>
  <sheets>
    <sheet name="SEP-Fus-Win-Coc-JE" sheetId="14" r:id="rId1"/>
    <sheet name="Jum-Fus-Win-Coc-JE" sheetId="13" r:id="rId2"/>
    <sheet name="Lux-Fus-Win-Coc-JE" sheetId="12" r:id="rId3"/>
    <sheet name="BFR-OB-ST" sheetId="7" r:id="rId4"/>
    <sheet name="BFR-OB-ST-RE" sheetId="4" r:id="rId5"/>
    <sheet name="BFRr-OB-ST-RE" sheetId="9" r:id="rId6"/>
    <sheet name="BFR-OB-ST-RE-Fus-Prp" sheetId="10" r:id="rId7"/>
    <sheet name="SAT-Ion-HGEC" sheetId="3" r:id="rId8"/>
    <sheet name="RE-HGEC" sheetId="8" r:id="rId9"/>
    <sheet name="RE" sheetId="6" r:id="rId10"/>
    <sheet name="HGEC" sheetId="5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4" l="1"/>
  <c r="L28" i="14"/>
  <c r="K28" i="14"/>
  <c r="J28" i="14"/>
  <c r="I28" i="14"/>
  <c r="H28" i="14"/>
  <c r="G28" i="14"/>
  <c r="F28" i="14"/>
  <c r="E28" i="14"/>
  <c r="D28" i="14"/>
  <c r="C28" i="14"/>
  <c r="B28" i="14"/>
  <c r="L23" i="14"/>
  <c r="K23" i="14"/>
  <c r="J23" i="14"/>
  <c r="I23" i="14"/>
  <c r="H23" i="14"/>
  <c r="G23" i="14"/>
  <c r="F23" i="14"/>
  <c r="E23" i="14"/>
  <c r="D23" i="14"/>
  <c r="C23" i="14"/>
  <c r="B23" i="14"/>
  <c r="E22" i="14"/>
  <c r="D22" i="14"/>
  <c r="C22" i="14"/>
  <c r="B24" i="14"/>
  <c r="B22" i="13"/>
  <c r="B24" i="13" s="1"/>
  <c r="L28" i="13"/>
  <c r="K28" i="13"/>
  <c r="J28" i="13"/>
  <c r="I28" i="13"/>
  <c r="H28" i="13"/>
  <c r="G28" i="13"/>
  <c r="F28" i="13"/>
  <c r="E28" i="13"/>
  <c r="D28" i="13"/>
  <c r="C28" i="13"/>
  <c r="B28" i="13"/>
  <c r="L23" i="13"/>
  <c r="K23" i="13"/>
  <c r="J23" i="13"/>
  <c r="I23" i="13"/>
  <c r="H23" i="13"/>
  <c r="G23" i="13"/>
  <c r="F23" i="13"/>
  <c r="E23" i="13"/>
  <c r="D23" i="13"/>
  <c r="C23" i="13"/>
  <c r="B23" i="13"/>
  <c r="F22" i="13"/>
  <c r="E22" i="13"/>
  <c r="D22" i="13"/>
  <c r="C22" i="13"/>
  <c r="F22" i="12"/>
  <c r="E22" i="12"/>
  <c r="D22" i="12"/>
  <c r="C22" i="12"/>
  <c r="B22" i="12"/>
  <c r="C23" i="12"/>
  <c r="D23" i="12"/>
  <c r="E23" i="12"/>
  <c r="F23" i="12"/>
  <c r="G23" i="12"/>
  <c r="H23" i="12"/>
  <c r="I23" i="12"/>
  <c r="J23" i="12"/>
  <c r="K23" i="12"/>
  <c r="L23" i="12"/>
  <c r="B23" i="12"/>
  <c r="B25" i="12" s="1"/>
  <c r="B25" i="14" l="1"/>
  <c r="B43" i="14" s="1"/>
  <c r="B31" i="14"/>
  <c r="I29" i="14" s="1"/>
  <c r="H29" i="14"/>
  <c r="D29" i="14"/>
  <c r="B25" i="13"/>
  <c r="B43" i="13" s="1"/>
  <c r="B31" i="13"/>
  <c r="L29" i="13" s="1"/>
  <c r="F29" i="14" l="1"/>
  <c r="G29" i="14"/>
  <c r="B29" i="14"/>
  <c r="K29" i="14"/>
  <c r="C29" i="14"/>
  <c r="J29" i="14"/>
  <c r="E29" i="14"/>
  <c r="L29" i="14"/>
  <c r="B41" i="14"/>
  <c r="B44" i="14"/>
  <c r="B32" i="14"/>
  <c r="C29" i="13"/>
  <c r="J29" i="13"/>
  <c r="K29" i="13"/>
  <c r="B44" i="13"/>
  <c r="B41" i="13"/>
  <c r="I29" i="13"/>
  <c r="H29" i="13"/>
  <c r="G29" i="13"/>
  <c r="B29" i="13"/>
  <c r="F29" i="13"/>
  <c r="E29" i="13"/>
  <c r="D29" i="13"/>
  <c r="B33" i="14" l="1"/>
  <c r="B42" i="14"/>
  <c r="B32" i="13"/>
  <c r="B45" i="14"/>
  <c r="B50" i="14"/>
  <c r="B48" i="14"/>
  <c r="B49" i="14"/>
  <c r="B51" i="14"/>
  <c r="L30" i="14" l="1"/>
  <c r="K30" i="14"/>
  <c r="B30" i="14"/>
  <c r="H30" i="14"/>
  <c r="F30" i="14"/>
  <c r="E30" i="14"/>
  <c r="J30" i="14"/>
  <c r="D30" i="14"/>
  <c r="G30" i="14"/>
  <c r="I30" i="14"/>
  <c r="C30" i="14"/>
  <c r="B42" i="13"/>
  <c r="B33" i="13"/>
  <c r="B48" i="13"/>
  <c r="B49" i="13"/>
  <c r="B45" i="13"/>
  <c r="B50" i="13"/>
  <c r="B51" i="13" s="1"/>
  <c r="J30" i="13" l="1"/>
  <c r="C30" i="13"/>
  <c r="L30" i="13"/>
  <c r="K30" i="13"/>
  <c r="B30" i="13"/>
  <c r="H30" i="13"/>
  <c r="E30" i="13"/>
  <c r="F30" i="13"/>
  <c r="G30" i="13"/>
  <c r="I30" i="13"/>
  <c r="D30" i="13"/>
  <c r="L28" i="12" l="1"/>
  <c r="K28" i="12"/>
  <c r="J28" i="12"/>
  <c r="I28" i="12"/>
  <c r="H28" i="12"/>
  <c r="G28" i="12"/>
  <c r="F28" i="12"/>
  <c r="E28" i="12"/>
  <c r="D28" i="12"/>
  <c r="C28" i="12"/>
  <c r="B28" i="12"/>
  <c r="B24" i="12" l="1"/>
  <c r="B43" i="12" s="1"/>
  <c r="B44" i="12" s="1"/>
  <c r="B31" i="12"/>
  <c r="B30" i="5"/>
  <c r="B28" i="5"/>
  <c r="B31" i="5" s="1"/>
  <c r="B27" i="5"/>
  <c r="B24" i="5"/>
  <c r="B23" i="5"/>
  <c r="B42" i="5" s="1"/>
  <c r="B30" i="6"/>
  <c r="B28" i="6"/>
  <c r="B31" i="6" s="1"/>
  <c r="B27" i="6"/>
  <c r="B24" i="6"/>
  <c r="B23" i="6"/>
  <c r="B42" i="6" s="1"/>
  <c r="L27" i="8"/>
  <c r="K27" i="8"/>
  <c r="J27" i="8"/>
  <c r="I27" i="8"/>
  <c r="H27" i="8"/>
  <c r="G27" i="8"/>
  <c r="F27" i="8"/>
  <c r="E27" i="8"/>
  <c r="D27" i="8"/>
  <c r="C27" i="8"/>
  <c r="B27" i="8"/>
  <c r="B24" i="8"/>
  <c r="B23" i="8"/>
  <c r="B42" i="8" s="1"/>
  <c r="L27" i="3"/>
  <c r="K27" i="3"/>
  <c r="J27" i="3"/>
  <c r="I27" i="3"/>
  <c r="I28" i="3" s="1"/>
  <c r="H27" i="3"/>
  <c r="G27" i="3"/>
  <c r="F27" i="3"/>
  <c r="E27" i="3"/>
  <c r="D27" i="3"/>
  <c r="C27" i="3"/>
  <c r="B27" i="3"/>
  <c r="B30" i="3" s="1"/>
  <c r="B24" i="3"/>
  <c r="B23" i="3"/>
  <c r="B42" i="3" s="1"/>
  <c r="L27" i="10"/>
  <c r="K27" i="10"/>
  <c r="J27" i="10"/>
  <c r="I27" i="10"/>
  <c r="H27" i="10"/>
  <c r="G27" i="10"/>
  <c r="F27" i="10"/>
  <c r="E27" i="10"/>
  <c r="D27" i="10"/>
  <c r="C27" i="10"/>
  <c r="B27" i="10"/>
  <c r="B24" i="10"/>
  <c r="B23" i="10"/>
  <c r="B42" i="10" s="1"/>
  <c r="L27" i="9"/>
  <c r="K27" i="9"/>
  <c r="J27" i="9"/>
  <c r="I27" i="9"/>
  <c r="H27" i="9"/>
  <c r="G27" i="9"/>
  <c r="F27" i="9"/>
  <c r="E27" i="9"/>
  <c r="D27" i="9"/>
  <c r="C27" i="9"/>
  <c r="B27" i="9"/>
  <c r="B24" i="9"/>
  <c r="B23" i="9"/>
  <c r="B42" i="9" s="1"/>
  <c r="L27" i="4"/>
  <c r="K27" i="4"/>
  <c r="J27" i="4"/>
  <c r="I27" i="4"/>
  <c r="I28" i="4" s="1"/>
  <c r="H27" i="4"/>
  <c r="G27" i="4"/>
  <c r="F27" i="4"/>
  <c r="E27" i="4"/>
  <c r="D27" i="4"/>
  <c r="C27" i="4"/>
  <c r="B27" i="4"/>
  <c r="B30" i="4" s="1"/>
  <c r="B24" i="4"/>
  <c r="B23" i="4"/>
  <c r="B42" i="4" s="1"/>
  <c r="D27" i="7"/>
  <c r="E27" i="7"/>
  <c r="F27" i="7"/>
  <c r="G27" i="7"/>
  <c r="H27" i="7"/>
  <c r="I27" i="7"/>
  <c r="J27" i="7"/>
  <c r="K27" i="7"/>
  <c r="L27" i="7"/>
  <c r="C27" i="7"/>
  <c r="B44" i="7"/>
  <c r="B41" i="12" l="1"/>
  <c r="H29" i="12"/>
  <c r="G29" i="12"/>
  <c r="F29" i="12"/>
  <c r="D29" i="12"/>
  <c r="C29" i="12"/>
  <c r="I29" i="12"/>
  <c r="K29" i="12"/>
  <c r="J29" i="12"/>
  <c r="B29" i="12"/>
  <c r="E29" i="12"/>
  <c r="L29" i="12"/>
  <c r="B40" i="5"/>
  <c r="B43" i="5"/>
  <c r="B41" i="5"/>
  <c r="B32" i="5"/>
  <c r="B40" i="6"/>
  <c r="B43" i="6"/>
  <c r="B41" i="6"/>
  <c r="B32" i="6"/>
  <c r="B40" i="8"/>
  <c r="B43" i="8"/>
  <c r="B28" i="8"/>
  <c r="J28" i="8"/>
  <c r="C28" i="8"/>
  <c r="K28" i="8"/>
  <c r="D28" i="8"/>
  <c r="L28" i="8"/>
  <c r="E28" i="8"/>
  <c r="B30" i="8"/>
  <c r="B40" i="3"/>
  <c r="B43" i="3"/>
  <c r="F28" i="3"/>
  <c r="H28" i="3"/>
  <c r="G28" i="3"/>
  <c r="J28" i="3"/>
  <c r="C28" i="3"/>
  <c r="K28" i="3"/>
  <c r="D28" i="3"/>
  <c r="L28" i="3"/>
  <c r="E28" i="3"/>
  <c r="B28" i="3"/>
  <c r="D28" i="10"/>
  <c r="B40" i="10"/>
  <c r="B43" i="10"/>
  <c r="J28" i="10"/>
  <c r="C28" i="10"/>
  <c r="B30" i="10"/>
  <c r="B28" i="10" s="1"/>
  <c r="B40" i="9"/>
  <c r="B43" i="9"/>
  <c r="B30" i="9"/>
  <c r="C28" i="9" s="1"/>
  <c r="B43" i="4"/>
  <c r="B40" i="4"/>
  <c r="H28" i="4"/>
  <c r="B28" i="4"/>
  <c r="L28" i="4"/>
  <c r="D28" i="4"/>
  <c r="K28" i="4"/>
  <c r="C28" i="4"/>
  <c r="J28" i="4"/>
  <c r="E28" i="4"/>
  <c r="F28" i="4"/>
  <c r="G28" i="4"/>
  <c r="B44" i="5"/>
  <c r="B49" i="6"/>
  <c r="B47" i="5"/>
  <c r="B50" i="6"/>
  <c r="B48" i="5"/>
  <c r="B49" i="5"/>
  <c r="B50" i="5"/>
  <c r="B44" i="6"/>
  <c r="B47" i="6"/>
  <c r="B48" i="6"/>
  <c r="B32" i="12" l="1"/>
  <c r="B29" i="5"/>
  <c r="B29" i="6"/>
  <c r="B31" i="8"/>
  <c r="H28" i="8"/>
  <c r="G28" i="8"/>
  <c r="F28" i="8"/>
  <c r="I28" i="8"/>
  <c r="B31" i="3"/>
  <c r="B31" i="10"/>
  <c r="I28" i="10"/>
  <c r="H28" i="10"/>
  <c r="G28" i="10"/>
  <c r="F28" i="10"/>
  <c r="E28" i="10"/>
  <c r="K28" i="10"/>
  <c r="L28" i="10"/>
  <c r="I28" i="9"/>
  <c r="E28" i="9"/>
  <c r="D28" i="9"/>
  <c r="K28" i="9"/>
  <c r="H28" i="9"/>
  <c r="G28" i="9"/>
  <c r="F28" i="9"/>
  <c r="L28" i="9"/>
  <c r="J28" i="9"/>
  <c r="B28" i="9"/>
  <c r="B31" i="4"/>
  <c r="B42" i="7"/>
  <c r="B40" i="7" s="1"/>
  <c r="B42" i="12" l="1"/>
  <c r="B33" i="12"/>
  <c r="B41" i="8"/>
  <c r="B32" i="8"/>
  <c r="B41" i="3"/>
  <c r="B32" i="3"/>
  <c r="B41" i="10"/>
  <c r="B32" i="10"/>
  <c r="B31" i="9"/>
  <c r="B32" i="4"/>
  <c r="B41" i="4"/>
  <c r="B43" i="7"/>
  <c r="B45" i="12"/>
  <c r="B48" i="12"/>
  <c r="B49" i="12"/>
  <c r="B50" i="12"/>
  <c r="B51" i="12"/>
  <c r="B49" i="8"/>
  <c r="B44" i="3"/>
  <c r="B49" i="10"/>
  <c r="B50" i="10"/>
  <c r="B49" i="4"/>
  <c r="B44" i="8"/>
  <c r="B49" i="3"/>
  <c r="B50" i="3"/>
  <c r="B44" i="10"/>
  <c r="B47" i="10"/>
  <c r="B48" i="10"/>
  <c r="B47" i="3"/>
  <c r="B50" i="4"/>
  <c r="B44" i="4"/>
  <c r="B47" i="4"/>
  <c r="B48" i="4"/>
  <c r="B50" i="8"/>
  <c r="B48" i="3"/>
  <c r="B47" i="8"/>
  <c r="B48" i="8" s="1"/>
  <c r="J30" i="12" l="1"/>
  <c r="B30" i="12"/>
  <c r="G30" i="12"/>
  <c r="K30" i="12"/>
  <c r="H30" i="12"/>
  <c r="C30" i="12"/>
  <c r="L30" i="12"/>
  <c r="I30" i="12"/>
  <c r="F30" i="12"/>
  <c r="E30" i="12"/>
  <c r="D30" i="12"/>
  <c r="C29" i="8"/>
  <c r="D29" i="8"/>
  <c r="K29" i="8"/>
  <c r="L29" i="8"/>
  <c r="J29" i="8"/>
  <c r="B29" i="8"/>
  <c r="E29" i="8"/>
  <c r="I29" i="8"/>
  <c r="F29" i="8"/>
  <c r="H29" i="8"/>
  <c r="G29" i="8"/>
  <c r="I29" i="3"/>
  <c r="C29" i="3"/>
  <c r="F29" i="3"/>
  <c r="J29" i="3"/>
  <c r="D29" i="3"/>
  <c r="G29" i="3"/>
  <c r="K29" i="3"/>
  <c r="L29" i="3"/>
  <c r="B29" i="3"/>
  <c r="E29" i="3"/>
  <c r="H29" i="3"/>
  <c r="J29" i="10"/>
  <c r="D29" i="10"/>
  <c r="C29" i="10"/>
  <c r="B29" i="10"/>
  <c r="H29" i="10"/>
  <c r="F29" i="10"/>
  <c r="G29" i="10"/>
  <c r="L29" i="10"/>
  <c r="I29" i="10"/>
  <c r="E29" i="10"/>
  <c r="K29" i="10"/>
  <c r="B41" i="9"/>
  <c r="B32" i="9"/>
  <c r="I29" i="4"/>
  <c r="K29" i="4"/>
  <c r="E29" i="4"/>
  <c r="L29" i="4"/>
  <c r="J29" i="4"/>
  <c r="B29" i="4"/>
  <c r="H29" i="4"/>
  <c r="G29" i="4"/>
  <c r="C29" i="4"/>
  <c r="F29" i="4"/>
  <c r="D29" i="4"/>
  <c r="I22" i="10"/>
  <c r="H22" i="10"/>
  <c r="G22" i="10"/>
  <c r="F22" i="10"/>
  <c r="E22" i="10"/>
  <c r="D22" i="10"/>
  <c r="B44" i="9"/>
  <c r="B47" i="9"/>
  <c r="B48" i="9"/>
  <c r="B49" i="9"/>
  <c r="B50" i="9" s="1"/>
  <c r="C29" i="9" l="1"/>
  <c r="J29" i="9"/>
  <c r="L29" i="9"/>
  <c r="H29" i="9"/>
  <c r="B29" i="9"/>
  <c r="F29" i="9"/>
  <c r="G29" i="9"/>
  <c r="E29" i="9"/>
  <c r="I29" i="9"/>
  <c r="D29" i="9"/>
  <c r="K29" i="9"/>
  <c r="I19" i="10"/>
  <c r="C19" i="10"/>
  <c r="F19" i="10" s="1"/>
  <c r="B20" i="9"/>
  <c r="F22" i="9"/>
  <c r="E22" i="9"/>
  <c r="D22" i="9"/>
  <c r="C22" i="9"/>
  <c r="F19" i="9"/>
  <c r="C19" i="9"/>
  <c r="E19" i="9" l="1"/>
  <c r="B22" i="8"/>
  <c r="C22" i="8"/>
  <c r="D22" i="7"/>
  <c r="C22" i="7"/>
  <c r="B27" i="7"/>
  <c r="C19" i="7"/>
  <c r="B24" i="7" l="1"/>
  <c r="B30" i="7"/>
  <c r="B23" i="7"/>
  <c r="H28" i="7" l="1"/>
  <c r="K28" i="7"/>
  <c r="G28" i="7"/>
  <c r="L28" i="7"/>
  <c r="D28" i="7"/>
  <c r="J28" i="7"/>
  <c r="B28" i="7"/>
  <c r="I28" i="7"/>
  <c r="C28" i="7"/>
  <c r="F28" i="7"/>
  <c r="E28" i="7"/>
  <c r="B22" i="6"/>
  <c r="B31" i="7" l="1"/>
  <c r="B32" i="7" l="1"/>
  <c r="B41" i="7"/>
  <c r="B47" i="7"/>
  <c r="B49" i="7"/>
  <c r="D29" i="7" l="1"/>
  <c r="K29" i="7"/>
  <c r="C29" i="7"/>
  <c r="I29" i="7"/>
  <c r="E29" i="7"/>
  <c r="G29" i="7"/>
  <c r="H29" i="7"/>
  <c r="B29" i="7"/>
  <c r="F29" i="7"/>
  <c r="L29" i="7"/>
  <c r="J29" i="7"/>
  <c r="E22" i="3"/>
  <c r="D22" i="3"/>
  <c r="C22" i="3"/>
  <c r="B22" i="3"/>
  <c r="E19" i="3"/>
  <c r="D19" i="3"/>
  <c r="C19" i="3"/>
  <c r="B22" i="5"/>
  <c r="B50" i="7"/>
  <c r="B48" i="7"/>
  <c r="F22" i="4" l="1"/>
  <c r="E22" i="4"/>
  <c r="D22" i="4"/>
  <c r="C22" i="4"/>
  <c r="F19" i="4"/>
  <c r="C19" i="4"/>
  <c r="E19" i="4" l="1"/>
</calcChain>
</file>

<file path=xl/sharedStrings.xml><?xml version="1.0" encoding="utf-8"?>
<sst xmlns="http://schemas.openxmlformats.org/spreadsheetml/2006/main" count="661" uniqueCount="104">
  <si>
    <t>Alphas</t>
  </si>
  <si>
    <t>Product Name</t>
  </si>
  <si>
    <t>BFR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</si>
  <si>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</si>
  <si>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</si>
  <si>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</si>
  <si>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</si>
  <si>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</si>
  <si>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</si>
  <si>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Propellant tank</t>
  </si>
  <si>
    <t>Cockpit</t>
  </si>
  <si>
    <t>HeatShield</t>
  </si>
  <si>
    <t>Steel</t>
  </si>
  <si>
    <t>HGEC</t>
  </si>
  <si>
    <t xml:space="preserve">Aluminium 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</si>
  <si>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</si>
  <si>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</si>
  <si>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</si>
  <si>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</si>
  <si>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</si>
  <si>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</si>
  <si>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</si>
  <si>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</si>
  <si>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</si>
  <si>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</si>
  <si>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BFR-OB</t>
  </si>
  <si>
    <t>BFR-Starship</t>
  </si>
  <si>
    <t>OB-Rocket engine</t>
  </si>
  <si>
    <t>St-Rocket engine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</si>
  <si>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</si>
  <si>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</si>
  <si>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</si>
  <si>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</si>
  <si>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</si>
  <si>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</si>
  <si>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</si>
  <si>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</si>
  <si>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</si>
  <si>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</si>
  <si>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</si>
  <si>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</si>
  <si>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</si>
  <si>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</si>
  <si>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</si>
  <si>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Attitude controller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</si>
  <si>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</si>
  <si>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</si>
  <si>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</si>
  <si>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</si>
  <si>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</si>
  <si>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</si>
  <si>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</si>
  <si>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</si>
  <si>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</si>
  <si>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Flight computer</t>
  </si>
  <si>
    <t>Attitude control</t>
  </si>
  <si>
    <t>Satellite</t>
  </si>
  <si>
    <t>Silicon</t>
  </si>
  <si>
    <t>Chemicals</t>
  </si>
  <si>
    <t>Golden bars</t>
  </si>
  <si>
    <t>Batteries</t>
  </si>
  <si>
    <t>Sat-HGEC</t>
  </si>
  <si>
    <t>Sat-Ion Drive</t>
  </si>
  <si>
    <t>Sat-Ion-HGEC</t>
  </si>
  <si>
    <t xml:space="preserve">HGEC </t>
  </si>
  <si>
    <t>RE</t>
  </si>
  <si>
    <t>Aluminium</t>
  </si>
  <si>
    <t>Rocket Engines</t>
  </si>
  <si>
    <t>It's too expensive to buy Rocket engines :(</t>
  </si>
  <si>
    <t>Total Units daily</t>
  </si>
  <si>
    <t>BFR renting service</t>
  </si>
  <si>
    <t xml:space="preserve">It is profitable to rent VIF if retailing at more expensive prices </t>
  </si>
  <si>
    <t>OB-Fuselage</t>
  </si>
  <si>
    <t>OB-Propellant tank</t>
  </si>
  <si>
    <t>St-Propellant tank</t>
  </si>
  <si>
    <t>Carbon Composite</t>
  </si>
  <si>
    <t xml:space="preserve">Producing Fuselage is not even required! </t>
  </si>
  <si>
    <t xml:space="preserve">Market price of Fuselage is so low that it's better to buy it rather than producing it </t>
  </si>
  <si>
    <t xml:space="preserve">Rocket Fuel </t>
  </si>
  <si>
    <t>Heat Shield</t>
  </si>
  <si>
    <t xml:space="preserve">If retailing at the same price. It is not profitable </t>
  </si>
  <si>
    <t>Having the whole chain is too labor intensive and not so profitable… :(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</si>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</sst>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0" borderId="15" xfId="0" applyBorder="1"/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44" fontId="0" fillId="3" borderId="10" xfId="2" applyFont="1" applyFill="1" applyBorder="1"/>
    <xf numFmtId="44" fontId="0" fillId="2" borderId="10" xfId="2" applyFont="1" applyFill="1" applyBorder="1"/>
    <xf numFmtId="10" fontId="0" fillId="0" borderId="0" xfId="0" applyNumberFormat="1"/>
    <xf numFmtId="44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10" fontId="0" fillId="5" borderId="11" xfId="0" applyNumberFormat="1" applyFill="1" applyBorder="1"/>
    <xf numFmtId="0" fontId="0" fillId="3" borderId="9" xfId="0" applyFill="1" applyBorder="1"/>
    <xf numFmtId="10" fontId="0" fillId="4" borderId="10" xfId="1" applyNumberFormat="1" applyFont="1" applyFill="1" applyBorder="1"/>
    <xf numFmtId="0" fontId="0" fillId="4" borderId="10" xfId="0" applyFill="1" applyBorder="1"/>
    <xf numFmtId="44" fontId="0" fillId="4" borderId="0" xfId="2" applyFont="1" applyFill="1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6785" y="8055429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45</xdr:row>
      <xdr:rowOff>0</xdr:rowOff>
    </xdr:from>
    <xdr:to>
      <xdr:col>7</xdr:col>
      <xdr:colOff>140977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6786" y="7769679"/>
          <a:ext cx="4304762" cy="4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154584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393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363794</xdr:colOff>
      <xdr:row>46</xdr:row>
      <xdr:rowOff>80901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2063" y="7762875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277048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7429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346595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2000" y="7789333"/>
          <a:ext cx="4304762" cy="485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41</xdr:row>
      <xdr:rowOff>0</xdr:rowOff>
    </xdr:from>
    <xdr:to>
      <xdr:col>7</xdr:col>
      <xdr:colOff>360292</xdr:colOff>
      <xdr:row>43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265" y="7003676"/>
          <a:ext cx="4304762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M57"/>
  <sheetViews>
    <sheetView zoomScale="70" zoomScaleNormal="70" workbookViewId="0">
      <selection activeCell="J36" sqref="J3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11.1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58</v>
      </c>
      <c r="B10" s="8">
        <v>16.3</v>
      </c>
    </row>
    <row r="11" spans="1:6" x14ac:dyDescent="0.25">
      <c r="A11" s="4" t="s">
        <v>102</v>
      </c>
      <c r="B11" s="8">
        <v>57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103</v>
      </c>
      <c r="C18" s="2" t="s">
        <v>8</v>
      </c>
      <c r="D18" s="2" t="s">
        <v>94</v>
      </c>
      <c r="E18" s="2" t="s">
        <v>10</v>
      </c>
      <c r="F18" s="2" t="s">
        <v>101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>
        <v>2</v>
      </c>
      <c r="E19" s="5">
        <v>1</v>
      </c>
      <c r="F19" s="5">
        <v>1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1.48</v>
      </c>
      <c r="C20" s="29">
        <v>3.3</v>
      </c>
      <c r="D20" s="29">
        <v>8.11</v>
      </c>
      <c r="E20" s="29">
        <v>2.2599999999999998</v>
      </c>
      <c r="F20" s="29">
        <v>5.6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/>
      <c r="C22" s="9">
        <f>40*B5</f>
        <v>2840</v>
      </c>
      <c r="D22" s="9">
        <f>30*B5+5*B6</f>
        <v>2229.5</v>
      </c>
      <c r="E22" s="9">
        <f>4*B7+8*B8+B9</f>
        <v>5058</v>
      </c>
      <c r="F22" s="9">
        <f>6*B4+5*B10+5*B11</f>
        <v>433.1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512.83783783783781</v>
      </c>
      <c r="C23" s="66">
        <f t="shared" ref="C23:L23" si="0">IF(C19&gt;0,C21/C20,)</f>
        <v>177.87878787878788</v>
      </c>
      <c r="D23" s="66">
        <f t="shared" si="0"/>
        <v>72.379778051787923</v>
      </c>
      <c r="E23" s="66">
        <f t="shared" si="0"/>
        <v>320.79646017699116</v>
      </c>
      <c r="F23" s="66">
        <f t="shared" si="0"/>
        <v>110.89285714285715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32670.1</v>
      </c>
    </row>
    <row r="25" spans="1:13" ht="14.25" customHeight="1" x14ac:dyDescent="0.25">
      <c r="A25" s="13" t="s">
        <v>42</v>
      </c>
      <c r="B25" s="18">
        <f>SUMPRODUCT(B23:L23,B19:L19)</f>
        <v>2512.3170142915656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0.67567567567567566</v>
      </c>
      <c r="C28" s="20">
        <f>IF(C19&gt;0,1/C20*C19,)</f>
        <v>2.4242424242424243</v>
      </c>
      <c r="D28" s="20">
        <f>IF(D19&gt;0,1/D20*D19,)</f>
        <v>0.24660912453760792</v>
      </c>
      <c r="E28" s="20">
        <f>IF(E19&gt;0,1/E20*E19,)</f>
        <v>0.44247787610619471</v>
      </c>
      <c r="F28" s="20">
        <f>IF(F19&gt;0,1/F20*F19,)</f>
        <v>0.17857142857142858</v>
      </c>
      <c r="G28" s="20">
        <f>IF(G19&gt;0,1/G20*G19,)</f>
        <v>0</v>
      </c>
      <c r="H28" s="20">
        <f>IF(H19&gt;0,1/H20*H19,)</f>
        <v>0</v>
      </c>
      <c r="I28" s="20">
        <f>IF(I19&gt;0,1/I20*I19,)</f>
        <v>0</v>
      </c>
      <c r="J28" s="20">
        <f>IF(J19&gt;0,1/J20*J19,)</f>
        <v>0</v>
      </c>
      <c r="K28" s="20">
        <f>IF(K19&gt;0,1/K20*K19,)</f>
        <v>0</v>
      </c>
      <c r="L28" s="20">
        <f>IF(L19&gt;0,1/L20*L19,)</f>
        <v>0</v>
      </c>
      <c r="M28" t="s">
        <v>22</v>
      </c>
    </row>
    <row r="29" spans="1:13" x14ac:dyDescent="0.25">
      <c r="A29" s="22" t="s">
        <v>23</v>
      </c>
      <c r="B29" s="41">
        <f>B28/$B$31</f>
        <v>0.17029934286441317</v>
      </c>
      <c r="C29" s="37">
        <f t="shared" ref="C29:L29" si="1">C28/$B$31</f>
        <v>0.61101339985292491</v>
      </c>
      <c r="D29" s="37">
        <f t="shared" si="1"/>
        <v>6.2156110342621834E-2</v>
      </c>
      <c r="E29" s="37">
        <f t="shared" si="1"/>
        <v>0.11152346346873077</v>
      </c>
      <c r="F29" s="37">
        <f t="shared" si="1"/>
        <v>4.50076834713092E-2</v>
      </c>
      <c r="G29" s="37">
        <f t="shared" si="1"/>
        <v>0</v>
      </c>
      <c r="H29" s="37">
        <f t="shared" si="1"/>
        <v>0</v>
      </c>
      <c r="I29" s="37">
        <f t="shared" si="1"/>
        <v>0</v>
      </c>
      <c r="J29" s="37">
        <f t="shared" si="1"/>
        <v>0</v>
      </c>
      <c r="K29" s="37">
        <f t="shared" si="1"/>
        <v>0</v>
      </c>
      <c r="L29" s="38">
        <f t="shared" si="1"/>
        <v>0</v>
      </c>
    </row>
    <row r="30" spans="1:13" x14ac:dyDescent="0.25">
      <c r="A30" s="39" t="s">
        <v>92</v>
      </c>
      <c r="B30" s="42">
        <f>B29*$B$48</f>
        <v>0</v>
      </c>
      <c r="C30" s="43">
        <f t="shared" ref="C30:L30" si="2">C29*$B$48</f>
        <v>0</v>
      </c>
      <c r="D30" s="43">
        <f t="shared" si="2"/>
        <v>0</v>
      </c>
      <c r="E30" s="43">
        <f t="shared" si="2"/>
        <v>0</v>
      </c>
      <c r="F30" s="43">
        <f t="shared" si="2"/>
        <v>0</v>
      </c>
      <c r="G30" s="43">
        <f t="shared" si="2"/>
        <v>0</v>
      </c>
      <c r="H30" s="43">
        <f t="shared" si="2"/>
        <v>0</v>
      </c>
      <c r="I30" s="43">
        <f t="shared" si="2"/>
        <v>0</v>
      </c>
      <c r="J30" s="43">
        <f t="shared" si="2"/>
        <v>0</v>
      </c>
      <c r="K30" s="43">
        <f t="shared" si="2"/>
        <v>0</v>
      </c>
      <c r="L30" s="53">
        <f t="shared" si="2"/>
        <v>0</v>
      </c>
    </row>
    <row r="31" spans="1:13" x14ac:dyDescent="0.25">
      <c r="A31" s="12" t="s">
        <v>21</v>
      </c>
      <c r="B31" s="36">
        <f>SUM(B28:L28)</f>
        <v>3.9675765291333316</v>
      </c>
    </row>
    <row r="32" spans="1:13" x14ac:dyDescent="0.25">
      <c r="A32" s="19" t="s">
        <v>43</v>
      </c>
      <c r="B32" s="54">
        <f>B29</f>
        <v>0.17029934286441317</v>
      </c>
    </row>
    <row r="33" spans="1:5" x14ac:dyDescent="0.25">
      <c r="A33" s="21" t="s">
        <v>87</v>
      </c>
      <c r="B33" s="62">
        <f>B32*B20</f>
        <v>0.25204302743933149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35000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-691.37183549356268</v>
      </c>
    </row>
    <row r="42" spans="1:5" x14ac:dyDescent="0.25">
      <c r="A42" s="22" t="s">
        <v>69</v>
      </c>
      <c r="B42" s="58">
        <f>B36*B32*B20*24</f>
        <v>453.67744939079671</v>
      </c>
    </row>
    <row r="43" spans="1:5" x14ac:dyDescent="0.25">
      <c r="A43" s="22" t="s">
        <v>46</v>
      </c>
      <c r="B43" s="57">
        <f>B24+B25*(1+B36/170*(1-B39))/(1+B38)</f>
        <v>35691.371835493563</v>
      </c>
    </row>
    <row r="44" spans="1:5" x14ac:dyDescent="0.25">
      <c r="A44" s="21" t="s">
        <v>53</v>
      </c>
      <c r="B44" s="59">
        <f>B43-B24-B25</f>
        <v>508.95482120199858</v>
      </c>
    </row>
    <row r="45" spans="1:5" x14ac:dyDescent="0.25">
      <c r="A45" s="21" t="s">
        <v>24</v>
      </c>
      <c r="B45" s="60">
        <f>Profit(B36,B37,B24,B25,B33,B38,B39,B40)*24</f>
        <v>-330046.72788935964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0</v>
      </c>
    </row>
    <row r="49" spans="1:2" x14ac:dyDescent="0.25">
      <c r="A49" s="21" t="s">
        <v>89</v>
      </c>
      <c r="B49" s="60">
        <f>Profit(B48,B37,B24,B25,B33,B38,B39,0)*24</f>
        <v>0</v>
      </c>
    </row>
    <row r="50" spans="1:2" x14ac:dyDescent="0.25">
      <c r="A50" s="19" t="s">
        <v>90</v>
      </c>
      <c r="B50" s="61">
        <f>OBL(B37,B24,B25,B33,B38,B39,1)</f>
        <v>3.6661961081646353</v>
      </c>
    </row>
    <row r="51" spans="1:2" x14ac:dyDescent="0.25">
      <c r="A51" s="21" t="s">
        <v>91</v>
      </c>
      <c r="B51" s="60">
        <f>Profit(B50,B37,B24,B25,B33,B38,B39,1)*24</f>
        <v>757.57898675473143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M57"/>
  <sheetViews>
    <sheetView tabSelected="1" zoomScale="70" zoomScaleNormal="70" workbookViewId="0">
      <selection activeCell="E37" sqref="E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40</v>
      </c>
      <c r="D19" s="5">
        <v>10</v>
      </c>
      <c r="E19" s="5">
        <v>2</v>
      </c>
      <c r="F19" s="5">
        <v>4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</f>
        <v>44520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4464.7058823529405</v>
      </c>
      <c r="C23" s="66">
        <f t="shared" ref="C23:L23" si="0">IF(C19&gt;0,C21/C20,)</f>
        <v>177.87878787878788</v>
      </c>
      <c r="D23" s="66">
        <f t="shared" si="0"/>
        <v>72.379778051787923</v>
      </c>
      <c r="E23" s="66">
        <f t="shared" si="0"/>
        <v>320.79646017699116</v>
      </c>
      <c r="F23" s="66">
        <f t="shared" si="0"/>
        <v>705.68181818181813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205889</v>
      </c>
    </row>
    <row r="25" spans="1:13" ht="14.25" customHeight="1" x14ac:dyDescent="0.25">
      <c r="A25" s="13" t="s">
        <v>42</v>
      </c>
      <c r="B25" s="18">
        <f>SUMPRODUCT(B23:L23,B19:L19)</f>
        <v>15767.97537110359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>IF(C19&gt;0,1/C20*C19,)</f>
        <v>12.121212121212121</v>
      </c>
      <c r="D28" s="20">
        <f>IF(D19&gt;0,1/D20*D19,)</f>
        <v>1.2330456226880395</v>
      </c>
      <c r="E28" s="20">
        <f>IF(E19&gt;0,1/E20*E19,)</f>
        <v>0.88495575221238942</v>
      </c>
      <c r="F28" s="20">
        <f>IF(F19&gt;0,1/F20*F19,)</f>
        <v>4.5454545454545459</v>
      </c>
      <c r="G28" s="20">
        <f>IF(G19&gt;0,1/G20*G19,)</f>
        <v>0</v>
      </c>
      <c r="H28" s="20">
        <f>IF(H19&gt;0,1/H20*H19,)</f>
        <v>0</v>
      </c>
      <c r="I28" s="20">
        <f>IF(I19&gt;0,1/I20*I19,)</f>
        <v>0</v>
      </c>
      <c r="J28" s="20">
        <f>IF(J19&gt;0,1/J20*J19,)</f>
        <v>0</v>
      </c>
      <c r="K28" s="20">
        <f>IF(K19&gt;0,1/K20*K19,)</f>
        <v>0</v>
      </c>
      <c r="L28" s="20">
        <f>IF(L19&gt;0,1/L20*L19,)</f>
        <v>0</v>
      </c>
      <c r="M28" t="s">
        <v>22</v>
      </c>
    </row>
    <row r="29" spans="1:13" x14ac:dyDescent="0.25">
      <c r="A29" s="22" t="s">
        <v>23</v>
      </c>
      <c r="B29" s="41">
        <f>B28/$B$31</f>
        <v>0.23847034245811921</v>
      </c>
      <c r="C29" s="37">
        <f t="shared" ref="C29:L29" si="1">C28/$B$31</f>
        <v>0.49139343294400323</v>
      </c>
      <c r="D29" s="37">
        <f t="shared" si="1"/>
        <v>4.9987618024513278E-2</v>
      </c>
      <c r="E29" s="37">
        <f t="shared" si="1"/>
        <v>3.5876069219363073E-2</v>
      </c>
      <c r="F29" s="37">
        <f t="shared" si="1"/>
        <v>0.18427253735400123</v>
      </c>
      <c r="G29" s="37">
        <f t="shared" si="1"/>
        <v>0</v>
      </c>
      <c r="H29" s="37">
        <f t="shared" si="1"/>
        <v>0</v>
      </c>
      <c r="I29" s="37">
        <f t="shared" si="1"/>
        <v>0</v>
      </c>
      <c r="J29" s="37">
        <f t="shared" si="1"/>
        <v>0</v>
      </c>
      <c r="K29" s="37">
        <f t="shared" si="1"/>
        <v>0</v>
      </c>
      <c r="L29" s="38">
        <f t="shared" si="1"/>
        <v>0</v>
      </c>
    </row>
    <row r="30" spans="1:13" x14ac:dyDescent="0.25">
      <c r="A30" s="39" t="s">
        <v>92</v>
      </c>
      <c r="B30" s="42">
        <f>B29*$B$48</f>
        <v>37.101922897191166</v>
      </c>
      <c r="C30" s="43">
        <f t="shared" ref="C30:L30" si="2">C29*$B$48</f>
        <v>76.452447182090893</v>
      </c>
      <c r="D30" s="43">
        <f t="shared" si="2"/>
        <v>7.7772218156874215</v>
      </c>
      <c r="E30" s="43">
        <f t="shared" si="2"/>
        <v>5.5817052146216808</v>
      </c>
      <c r="F30" s="43">
        <f t="shared" si="2"/>
        <v>28.669667693284087</v>
      </c>
      <c r="G30" s="43">
        <f t="shared" si="2"/>
        <v>0</v>
      </c>
      <c r="H30" s="43">
        <f t="shared" si="2"/>
        <v>0</v>
      </c>
      <c r="I30" s="43">
        <f t="shared" si="2"/>
        <v>0</v>
      </c>
      <c r="J30" s="43">
        <f t="shared" si="2"/>
        <v>0</v>
      </c>
      <c r="K30" s="43">
        <f t="shared" si="2"/>
        <v>0</v>
      </c>
      <c r="L30" s="53">
        <f t="shared" si="2"/>
        <v>0</v>
      </c>
    </row>
    <row r="31" spans="1:13" x14ac:dyDescent="0.25">
      <c r="A31" s="12" t="s">
        <v>21</v>
      </c>
      <c r="B31" s="36">
        <f>SUM(B28:L28)</f>
        <v>24.667020982743566</v>
      </c>
    </row>
    <row r="32" spans="1:13" x14ac:dyDescent="0.25">
      <c r="A32" s="19" t="s">
        <v>43</v>
      </c>
      <c r="B32" s="54">
        <f>B29</f>
        <v>0.23847034245811921</v>
      </c>
    </row>
    <row r="33" spans="1:5" x14ac:dyDescent="0.25">
      <c r="A33" s="21" t="s">
        <v>87</v>
      </c>
      <c r="B33" s="62">
        <f>B32*B20</f>
        <v>4.053995821788027E-2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238000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13148.687672188506</v>
      </c>
    </row>
    <row r="42" spans="1:5" x14ac:dyDescent="0.25">
      <c r="A42" s="22" t="s">
        <v>69</v>
      </c>
      <c r="B42" s="58">
        <f>B36*B32*B20*24</f>
        <v>72.971924792184495</v>
      </c>
    </row>
    <row r="43" spans="1:5" x14ac:dyDescent="0.25">
      <c r="A43" s="22" t="s">
        <v>46</v>
      </c>
      <c r="B43" s="57">
        <f>B24+B25*(1+B36/170*(1-B39))/(1+B38)</f>
        <v>224851.31232781149</v>
      </c>
    </row>
    <row r="44" spans="1:5" x14ac:dyDescent="0.25">
      <c r="A44" s="21" t="s">
        <v>53</v>
      </c>
      <c r="B44" s="59">
        <f>B43-B24-B25</f>
        <v>3194.3369567079044</v>
      </c>
    </row>
    <row r="45" spans="1:5" x14ac:dyDescent="0.25">
      <c r="A45" s="21" t="s">
        <v>24</v>
      </c>
      <c r="B45" s="60">
        <f>Profit(B36,B37,B24,B25,B33,B38,B39,B40)*24</f>
        <v>1038994.8988278882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155.58296480287524</v>
      </c>
    </row>
    <row r="49" spans="1:2" x14ac:dyDescent="0.25">
      <c r="A49" s="21" t="s">
        <v>89</v>
      </c>
      <c r="B49" s="60">
        <f>Profit(B48,B37,B24,B25,B33,B38,B39,0)*24</f>
        <v>1419904.0365730384</v>
      </c>
    </row>
    <row r="50" spans="1:2" x14ac:dyDescent="0.25">
      <c r="A50" s="19" t="s">
        <v>90</v>
      </c>
      <c r="B50" s="61">
        <f>OBL(B37,B24,B25,B33,B38,B39,1)</f>
        <v>164.43921827417748</v>
      </c>
    </row>
    <row r="51" spans="1:2" x14ac:dyDescent="0.25">
      <c r="A51" s="21" t="s">
        <v>91</v>
      </c>
      <c r="B51" s="60">
        <f>Profit(B50,B37,B24,B25,B33,B38,B39,1)*24</f>
        <v>1538570.668606923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M57"/>
  <sheetViews>
    <sheetView zoomScale="70" zoomScaleNormal="70" workbookViewId="0">
      <selection activeCell="C37" sqref="C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14</v>
      </c>
      <c r="D19" s="5">
        <v>2</v>
      </c>
      <c r="E19" s="5">
        <v>1</v>
      </c>
      <c r="F19" s="5">
        <v>2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</f>
        <v>12700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4464.7058823529405</v>
      </c>
      <c r="C23" s="66">
        <f t="shared" ref="C23:L23" si="0">IF(C19&gt;0,C21/C20,)</f>
        <v>177.87878787878788</v>
      </c>
      <c r="D23" s="66">
        <f t="shared" si="0"/>
        <v>72.379778051787923</v>
      </c>
      <c r="E23" s="66">
        <f t="shared" si="0"/>
        <v>320.79646017699116</v>
      </c>
      <c r="F23" s="66">
        <f t="shared" si="0"/>
        <v>705.68181818181813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69656</v>
      </c>
    </row>
    <row r="25" spans="1:13" ht="14.25" customHeight="1" x14ac:dyDescent="0.25">
      <c r="A25" s="13" t="s">
        <v>42</v>
      </c>
      <c r="B25" s="18">
        <f>SUMPRODUCT(B23:L23,B19:L19)</f>
        <v>8831.9285653001734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>IF(C19&gt;0,1/C20*C19,)</f>
        <v>4.2424242424242422</v>
      </c>
      <c r="D28" s="20">
        <f>IF(D19&gt;0,1/D20*D19,)</f>
        <v>0.24660912453760792</v>
      </c>
      <c r="E28" s="20">
        <f>IF(E19&gt;0,1/E20*E19,)</f>
        <v>0.44247787610619471</v>
      </c>
      <c r="F28" s="20">
        <f>IF(F19&gt;0,1/F20*F19,)</f>
        <v>2.2727272727272729</v>
      </c>
      <c r="G28" s="20">
        <f>IF(G19&gt;0,1/G20*G19,)</f>
        <v>0</v>
      </c>
      <c r="H28" s="20">
        <f>IF(H19&gt;0,1/H20*H19,)</f>
        <v>0</v>
      </c>
      <c r="I28" s="20">
        <f>IF(I19&gt;0,1/I20*I19,)</f>
        <v>0</v>
      </c>
      <c r="J28" s="20">
        <f>IF(J19&gt;0,1/J20*J19,)</f>
        <v>0</v>
      </c>
      <c r="K28" s="20">
        <f>IF(K19&gt;0,1/K20*K19,)</f>
        <v>0</v>
      </c>
      <c r="L28" s="20">
        <f>IF(L19&gt;0,1/L20*L19,)</f>
        <v>0</v>
      </c>
      <c r="M28" t="s">
        <v>22</v>
      </c>
    </row>
    <row r="29" spans="1:13" x14ac:dyDescent="0.25">
      <c r="A29" s="22" t="s">
        <v>23</v>
      </c>
      <c r="B29" s="41">
        <f>B28/$B$31</f>
        <v>0.44949465722357279</v>
      </c>
      <c r="C29" s="37">
        <f t="shared" ref="C29:L29" si="1">C28/$B$31</f>
        <v>0.32418099520972826</v>
      </c>
      <c r="D29" s="37">
        <f t="shared" si="1"/>
        <v>1.8844412263380367E-2</v>
      </c>
      <c r="E29" s="37">
        <f t="shared" si="1"/>
        <v>3.3811545012392648E-2</v>
      </c>
      <c r="F29" s="37">
        <f t="shared" si="1"/>
        <v>0.17366839029092587</v>
      </c>
      <c r="G29" s="37">
        <f t="shared" si="1"/>
        <v>0</v>
      </c>
      <c r="H29" s="37">
        <f t="shared" si="1"/>
        <v>0</v>
      </c>
      <c r="I29" s="37">
        <f t="shared" si="1"/>
        <v>0</v>
      </c>
      <c r="J29" s="37">
        <f t="shared" si="1"/>
        <v>0</v>
      </c>
      <c r="K29" s="37">
        <f t="shared" si="1"/>
        <v>0</v>
      </c>
      <c r="L29" s="38">
        <f t="shared" si="1"/>
        <v>0</v>
      </c>
    </row>
    <row r="30" spans="1:13" x14ac:dyDescent="0.25">
      <c r="A30" s="39" t="s">
        <v>92</v>
      </c>
      <c r="B30" s="42">
        <f>B29*$B$48</f>
        <v>51.026972022194037</v>
      </c>
      <c r="C30" s="43">
        <f t="shared" ref="C30:L30" si="2">C29*$B$48</f>
        <v>36.80127073115812</v>
      </c>
      <c r="D30" s="43">
        <f t="shared" si="2"/>
        <v>2.1392318726937085</v>
      </c>
      <c r="E30" s="43">
        <f t="shared" si="2"/>
        <v>3.8383120547668086</v>
      </c>
      <c r="F30" s="43">
        <f t="shared" si="2"/>
        <v>19.714966463120426</v>
      </c>
      <c r="G30" s="43">
        <f t="shared" si="2"/>
        <v>0</v>
      </c>
      <c r="H30" s="43">
        <f t="shared" si="2"/>
        <v>0</v>
      </c>
      <c r="I30" s="43">
        <f t="shared" si="2"/>
        <v>0</v>
      </c>
      <c r="J30" s="43">
        <f t="shared" si="2"/>
        <v>0</v>
      </c>
      <c r="K30" s="43">
        <f t="shared" si="2"/>
        <v>0</v>
      </c>
      <c r="L30" s="53">
        <f t="shared" si="2"/>
        <v>0</v>
      </c>
    </row>
    <row r="31" spans="1:13" x14ac:dyDescent="0.25">
      <c r="A31" s="12" t="s">
        <v>21</v>
      </c>
      <c r="B31" s="36">
        <f>SUM(B28:L28)</f>
        <v>13.086591456971789</v>
      </c>
    </row>
    <row r="32" spans="1:13" x14ac:dyDescent="0.25">
      <c r="A32" s="19" t="s">
        <v>43</v>
      </c>
      <c r="B32" s="54">
        <f>B29</f>
        <v>0.44949465722357279</v>
      </c>
    </row>
    <row r="33" spans="1:5" x14ac:dyDescent="0.25">
      <c r="A33" s="21" t="s">
        <v>87</v>
      </c>
      <c r="B33" s="62">
        <f>B32*B20</f>
        <v>7.641409172800738E-2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85000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4722.8654554182867</v>
      </c>
    </row>
    <row r="42" spans="1:5" x14ac:dyDescent="0.25">
      <c r="A42" s="22" t="s">
        <v>69</v>
      </c>
      <c r="B42" s="58">
        <f>B36*B32*B20*24</f>
        <v>137.54536511041329</v>
      </c>
    </row>
    <row r="43" spans="1:5" x14ac:dyDescent="0.25">
      <c r="A43" s="22" t="s">
        <v>46</v>
      </c>
      <c r="B43" s="57">
        <f>B24+B25*(1+B36/170*(1-B39))/(1+B38)</f>
        <v>80277.134544581713</v>
      </c>
    </row>
    <row r="44" spans="1:5" x14ac:dyDescent="0.25">
      <c r="A44" s="21" t="s">
        <v>53</v>
      </c>
      <c r="B44" s="59">
        <f>B43-B24-B25</f>
        <v>1789.2059792815398</v>
      </c>
    </row>
    <row r="45" spans="1:5" x14ac:dyDescent="0.25">
      <c r="A45" s="21" t="s">
        <v>24</v>
      </c>
      <c r="B45" s="60">
        <f>Profit(B36,B37,B24,B25,B33,B38,B39,B40)*24</f>
        <v>706200.64309948776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113.52075314393311</v>
      </c>
    </row>
    <row r="49" spans="1:2" x14ac:dyDescent="0.25">
      <c r="A49" s="21" t="s">
        <v>89</v>
      </c>
      <c r="B49" s="60">
        <f>Profit(B48,B37,B24,B25,B33,B38,B39,0)*24</f>
        <v>798096.13804347441</v>
      </c>
    </row>
    <row r="50" spans="1:2" x14ac:dyDescent="0.25">
      <c r="A50" s="19" t="s">
        <v>90</v>
      </c>
      <c r="B50" s="61">
        <f>OBL(B37,B24,B25,B33,B38,B39,1)</f>
        <v>121.07611347114435</v>
      </c>
    </row>
    <row r="51" spans="1:2" x14ac:dyDescent="0.25">
      <c r="A51" s="21" t="s">
        <v>91</v>
      </c>
      <c r="B51" s="60">
        <f>Profit(B50,B37,B24,B25,B33,B38,B39,1)*24</f>
        <v>880629.76312802557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M56"/>
  <sheetViews>
    <sheetView topLeftCell="A10" zoomScale="70" zoomScaleNormal="70" workbookViewId="0">
      <selection activeCell="F54" sqref="F54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67</v>
      </c>
      <c r="B9" s="8">
        <v>11300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40*B4+16*B5+34*B9</f>
        <v>649400</v>
      </c>
      <c r="D22" s="9">
        <f>2*B6+10*B7+4*B8+6*B5+7*B9</f>
        <v>156570</v>
      </c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805970</v>
      </c>
    </row>
    <row r="24" spans="1:13" ht="14.25" customHeight="1" x14ac:dyDescent="0.25">
      <c r="A24" s="13" t="s">
        <v>42</v>
      </c>
      <c r="B24" s="18">
        <f>SUMPRODUCT(B21:L21,B19:L19)</f>
        <v>5940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0.54347826086956519</v>
      </c>
      <c r="C28" s="37">
        <f t="shared" ref="C28:L28" si="1">C27/$B$30</f>
        <v>7.6086956521739121E-2</v>
      </c>
      <c r="D28" s="37">
        <f t="shared" si="1"/>
        <v>0.38043478260869562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109.42927434278532</v>
      </c>
      <c r="C29" s="43">
        <f t="shared" ref="C29:L29" si="2">C28*$B$47</f>
        <v>15.320098407989944</v>
      </c>
      <c r="D29" s="43">
        <f t="shared" si="2"/>
        <v>76.600492039949728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8.7619047619047628</v>
      </c>
    </row>
    <row r="31" spans="1:13" x14ac:dyDescent="0.25">
      <c r="A31" s="19" t="s">
        <v>43</v>
      </c>
      <c r="B31" s="54">
        <f>B28</f>
        <v>0.54347826086956519</v>
      </c>
    </row>
    <row r="32" spans="1:13" x14ac:dyDescent="0.25">
      <c r="A32" s="21" t="s">
        <v>87</v>
      </c>
      <c r="B32" s="62">
        <f>B31*B20</f>
        <v>0.11413043478260869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6886.6520065970253</v>
      </c>
    </row>
    <row r="41" spans="1:5" x14ac:dyDescent="0.25">
      <c r="A41" s="22" t="s">
        <v>69</v>
      </c>
      <c r="B41" s="58">
        <f>B35*B31*B20*24</f>
        <v>205.43478260869566</v>
      </c>
    </row>
    <row r="42" spans="1:5" x14ac:dyDescent="0.25">
      <c r="A42" s="22" t="s">
        <v>46</v>
      </c>
      <c r="B42" s="57">
        <f>B23+B24*(1+B35/170*(1-B38))/(1+B37)</f>
        <v>813113.34799340297</v>
      </c>
    </row>
    <row r="43" spans="1:5" x14ac:dyDescent="0.25">
      <c r="A43" s="21" t="s">
        <v>53</v>
      </c>
      <c r="B43" s="59">
        <f>B42-B23-B24</f>
        <v>1203.3479934029747</v>
      </c>
    </row>
    <row r="44" spans="1:5" x14ac:dyDescent="0.25">
      <c r="A44" s="21" t="s">
        <v>24</v>
      </c>
      <c r="B44" s="60">
        <f>Profit(B35,B36,B23,B24,B32,B37,B38,B39)*24</f>
        <v>1528976.9563154855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201.34986479072501</v>
      </c>
    </row>
    <row r="48" spans="1:5" x14ac:dyDescent="0.25">
      <c r="A48" s="21" t="s">
        <v>89</v>
      </c>
      <c r="B48" s="60">
        <f>Profit(B47,B36,B23,B24,B32,B37,B38,0)*24</f>
        <v>2522123.0910712429</v>
      </c>
    </row>
    <row r="49" spans="1:2" x14ac:dyDescent="0.25">
      <c r="A49" s="19" t="s">
        <v>90</v>
      </c>
      <c r="B49" s="61">
        <f>OBL(B36,B23,B24,B32,B37,B38,1)</f>
        <v>211.62158939567209</v>
      </c>
    </row>
    <row r="50" spans="1:2" x14ac:dyDescent="0.25">
      <c r="A50" s="21" t="s">
        <v>91</v>
      </c>
      <c r="B50" s="60">
        <f>Profit(B49,B36,B23,B24,B32,B37,B38,1)*24</f>
        <v>2702435.091635609</v>
      </c>
    </row>
    <row r="53" spans="1:2" x14ac:dyDescent="0.25">
      <c r="A53" t="s">
        <v>68</v>
      </c>
    </row>
    <row r="54" spans="1:2" x14ac:dyDescent="0.25">
      <c r="A54" t="s">
        <v>82</v>
      </c>
    </row>
    <row r="55" spans="1:2" x14ac:dyDescent="0.25">
      <c r="A55" t="s">
        <v>83</v>
      </c>
    </row>
    <row r="56" spans="1:2" x14ac:dyDescent="0.25">
      <c r="A56" t="s">
        <v>84</v>
      </c>
    </row>
  </sheetData>
  <sheetProtection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M50"/>
  <sheetViews>
    <sheetView zoomScale="70" zoomScaleNormal="7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42578125" customWidth="1"/>
    <col min="4" max="4" width="16.285156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830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</f>
        <v>265200</v>
      </c>
      <c r="D22" s="9">
        <f>2*B6+10*B7+4*B8+6*B5</f>
        <v>77470</v>
      </c>
      <c r="E22" s="9">
        <f>20*B9+8*B10+10*B11</f>
        <v>7039</v>
      </c>
      <c r="F22" s="9">
        <f>20*B9+8*B10+10*B11</f>
        <v>7039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631269</v>
      </c>
    </row>
    <row r="24" spans="1:13" ht="14.25" customHeight="1" x14ac:dyDescent="0.25">
      <c r="A24" s="13" t="s">
        <v>42</v>
      </c>
      <c r="B24" s="18">
        <f>SUMPRODUCT(B21:L21,B19:L19)</f>
        <v>96960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3.0684258975145751E-2</v>
      </c>
      <c r="C28" s="37">
        <f t="shared" ref="C28:L28" si="1">C27/$B$30</f>
        <v>4.2957962565204049E-3</v>
      </c>
      <c r="D28" s="37">
        <f t="shared" si="1"/>
        <v>2.147898128260203E-2</v>
      </c>
      <c r="E28" s="37">
        <f t="shared" si="1"/>
        <v>0.78244860386621662</v>
      </c>
      <c r="F28" s="37">
        <f t="shared" si="1"/>
        <v>0.16109235961951521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4.3856949067799711</v>
      </c>
      <c r="C29" s="43">
        <f t="shared" ref="C29:L29" si="2">C28*$B$47</f>
        <v>0.61399728694919598</v>
      </c>
      <c r="D29" s="43">
        <f t="shared" si="2"/>
        <v>3.0699864347459807</v>
      </c>
      <c r="E29" s="43">
        <f t="shared" si="2"/>
        <v>111.83522012288927</v>
      </c>
      <c r="F29" s="43">
        <f t="shared" si="2"/>
        <v>23.024898260594853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155.19047619047618</v>
      </c>
    </row>
    <row r="31" spans="1:13" x14ac:dyDescent="0.25">
      <c r="A31" s="19" t="s">
        <v>43</v>
      </c>
      <c r="B31" s="54">
        <f>B28</f>
        <v>3.0684258975145751E-2</v>
      </c>
    </row>
    <row r="32" spans="1:13" x14ac:dyDescent="0.25">
      <c r="A32" s="21" t="s">
        <v>87</v>
      </c>
      <c r="B32" s="62">
        <f>B31*B20</f>
        <v>6.4436943847806074E-3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72128.471137987915</v>
      </c>
    </row>
    <row r="41" spans="1:5" x14ac:dyDescent="0.25">
      <c r="A41" s="22" t="s">
        <v>69</v>
      </c>
      <c r="B41" s="58">
        <f>B35*B31*B20*24</f>
        <v>11.598649892605094</v>
      </c>
    </row>
    <row r="42" spans="1:5" x14ac:dyDescent="0.25">
      <c r="A42" s="22" t="s">
        <v>46</v>
      </c>
      <c r="B42" s="57">
        <f>B23+B24*(1+B35/170*(1-B38))/(1+B37)</f>
        <v>747871.52886201208</v>
      </c>
    </row>
    <row r="43" spans="1:5" x14ac:dyDescent="0.25">
      <c r="A43" s="21" t="s">
        <v>53</v>
      </c>
      <c r="B43" s="59">
        <f>B42-B23-B24</f>
        <v>19642.528862012085</v>
      </c>
    </row>
    <row r="44" spans="1:5" x14ac:dyDescent="0.25">
      <c r="A44" s="21" t="s">
        <v>24</v>
      </c>
      <c r="B44" s="60">
        <f>Profit(B35,B36,B23,B24,B32,B37,B38,B39)*24</f>
        <v>906687.95738905482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142.92979701195927</v>
      </c>
    </row>
    <row r="48" spans="1:5" x14ac:dyDescent="0.25">
      <c r="A48" s="21" t="s">
        <v>89</v>
      </c>
      <c r="B48" s="60">
        <f>Profit(B47,B36,B23,B24,B32,B37,B38,0)*24</f>
        <v>1171247.7562567014</v>
      </c>
    </row>
    <row r="49" spans="1:2" x14ac:dyDescent="0.25">
      <c r="A49" s="19" t="s">
        <v>90</v>
      </c>
      <c r="B49" s="61">
        <f>OBL(B36,B23,B24,B32,B37,B38,1)</f>
        <v>151.39471539694452</v>
      </c>
    </row>
    <row r="50" spans="1:2" x14ac:dyDescent="0.25">
      <c r="A50" s="21" t="s">
        <v>91</v>
      </c>
      <c r="B50" s="60">
        <f>Profit(B49,B36,B23,B24,B32,B37,B38,1)*24</f>
        <v>1274665.9482605653</v>
      </c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M53"/>
  <sheetViews>
    <sheetView zoomScale="80" zoomScaleNormal="8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820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70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f>1/(1/C20+1/D20)</f>
        <v>0.25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12000</v>
      </c>
      <c r="C22" s="9">
        <f>40*B4+16*B5</f>
        <v>265200</v>
      </c>
      <c r="D22" s="9">
        <f>2*B6+10*B7+4*B8+6*B5</f>
        <v>77470</v>
      </c>
      <c r="E22" s="9">
        <f>20*B9+8*B10+10*B11</f>
        <v>6959</v>
      </c>
      <c r="F22" s="9">
        <f>20*B9+8*B10+10*B11</f>
        <v>6959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639989</v>
      </c>
    </row>
    <row r="24" spans="1:13" ht="14.25" customHeight="1" x14ac:dyDescent="0.25">
      <c r="A24" s="13" t="s">
        <v>42</v>
      </c>
      <c r="B24" s="18">
        <f>SUMPRODUCT(B21:L21,B19:L19)</f>
        <v>93360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2.5901942645698429E-2</v>
      </c>
      <c r="C28" s="37">
        <f t="shared" ref="C28:L28" si="1">C27/$B$30</f>
        <v>4.3169904409497382E-3</v>
      </c>
      <c r="D28" s="37">
        <f t="shared" si="1"/>
        <v>2.1584952204748691E-2</v>
      </c>
      <c r="E28" s="37">
        <f t="shared" si="1"/>
        <v>0.78630897317298798</v>
      </c>
      <c r="F28" s="37">
        <f t="shared" si="1"/>
        <v>0.16188714153561518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3.6353457087499907</v>
      </c>
      <c r="C29" s="43">
        <f t="shared" ref="C29:L29" si="2">C28*$B$47</f>
        <v>0.60589095145833183</v>
      </c>
      <c r="D29" s="43">
        <f t="shared" si="2"/>
        <v>3.029454757291659</v>
      </c>
      <c r="E29" s="43">
        <f t="shared" si="2"/>
        <v>110.35870901562471</v>
      </c>
      <c r="F29" s="43">
        <f t="shared" si="2"/>
        <v>22.720910679687442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154.42857142857142</v>
      </c>
    </row>
    <row r="31" spans="1:13" x14ac:dyDescent="0.25">
      <c r="A31" s="19" t="s">
        <v>43</v>
      </c>
      <c r="B31" s="54">
        <f>B28</f>
        <v>2.5901942645698429E-2</v>
      </c>
    </row>
    <row r="32" spans="1:13" x14ac:dyDescent="0.25">
      <c r="A32" s="21" t="s">
        <v>87</v>
      </c>
      <c r="B32" s="62">
        <f>B31*B20</f>
        <v>6.4754856614246074E-3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67737.772952171508</v>
      </c>
    </row>
    <row r="41" spans="1:5" x14ac:dyDescent="0.25">
      <c r="A41" s="22" t="s">
        <v>69</v>
      </c>
      <c r="B41" s="58">
        <f>B35*B31*B20*24</f>
        <v>11.655874190564292</v>
      </c>
    </row>
    <row r="42" spans="1:5" x14ac:dyDescent="0.25">
      <c r="A42" s="22" t="s">
        <v>46</v>
      </c>
      <c r="B42" s="57">
        <f>B23+B24*(1+B35/170*(1-B38))/(1+B37)</f>
        <v>752262.22704782849</v>
      </c>
    </row>
    <row r="43" spans="1:5" x14ac:dyDescent="0.25">
      <c r="A43" s="21" t="s">
        <v>53</v>
      </c>
      <c r="B43" s="59">
        <f>B42-B23-B24</f>
        <v>18913.227047828492</v>
      </c>
    </row>
    <row r="44" spans="1:5" x14ac:dyDescent="0.25">
      <c r="A44" s="21" t="s">
        <v>24</v>
      </c>
      <c r="B44" s="60">
        <f>Profit(B35,B36,B23,B24,B32,B37,B38,B39)*24</f>
        <v>855865.92286641616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140.35031111281214</v>
      </c>
    </row>
    <row r="48" spans="1:5" x14ac:dyDescent="0.25">
      <c r="A48" s="21" t="s">
        <v>89</v>
      </c>
      <c r="B48" s="60">
        <f>Profit(B47,B36,B23,B24,B32,B37,B38,0)*24</f>
        <v>1092787.2654345755</v>
      </c>
    </row>
    <row r="49" spans="1:2" x14ac:dyDescent="0.25">
      <c r="A49" s="19" t="s">
        <v>90</v>
      </c>
      <c r="B49" s="61">
        <f>OBL(B36,B23,B24,B32,B37,B38,1)</f>
        <v>148.73545158339078</v>
      </c>
    </row>
    <row r="50" spans="1:2" x14ac:dyDescent="0.25">
      <c r="A50" s="21" t="s">
        <v>91</v>
      </c>
      <c r="B50" s="60">
        <f>Profit(B49,B36,B23,B24,B32,B37,B38,1)*24</f>
        <v>1190445.7067121256</v>
      </c>
    </row>
    <row r="52" spans="1:2" x14ac:dyDescent="0.25">
      <c r="A52" t="s">
        <v>71</v>
      </c>
    </row>
    <row r="53" spans="1:2" x14ac:dyDescent="0.25">
      <c r="A53" t="s">
        <v>80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M54"/>
  <sheetViews>
    <sheetView zoomScale="70" zoomScaleNormal="7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2.7109375" customWidth="1"/>
    <col min="4" max="4" width="18.140625" customWidth="1"/>
    <col min="5" max="5" width="14.5703125" customWidth="1"/>
    <col min="6" max="6" width="14.28515625" customWidth="1"/>
    <col min="7" max="7" width="13.42578125" customWidth="1"/>
    <col min="8" max="8" width="17" customWidth="1"/>
    <col min="9" max="10" width="13.285156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75</v>
      </c>
      <c r="B4" s="26">
        <v>61.5</v>
      </c>
      <c r="E4" s="33" t="s">
        <v>52</v>
      </c>
      <c r="F4" s="33"/>
    </row>
    <row r="5" spans="1:6" x14ac:dyDescent="0.25">
      <c r="A5" s="4" t="s">
        <v>66</v>
      </c>
      <c r="B5" s="8">
        <v>18.2</v>
      </c>
      <c r="E5" s="34" t="s">
        <v>49</v>
      </c>
      <c r="F5" s="34"/>
    </row>
    <row r="6" spans="1:6" x14ac:dyDescent="0.25">
      <c r="A6" s="4" t="s">
        <v>78</v>
      </c>
      <c r="B6" s="8">
        <v>32.5</v>
      </c>
      <c r="E6" s="31" t="s">
        <v>50</v>
      </c>
      <c r="F6" s="31"/>
    </row>
    <row r="7" spans="1:6" x14ac:dyDescent="0.25">
      <c r="A7" s="4" t="s">
        <v>12</v>
      </c>
      <c r="B7" s="8">
        <v>10.8</v>
      </c>
    </row>
    <row r="8" spans="1:6" x14ac:dyDescent="0.25">
      <c r="A8" s="4" t="s">
        <v>13</v>
      </c>
      <c r="B8" s="8">
        <v>820</v>
      </c>
    </row>
    <row r="9" spans="1:6" x14ac:dyDescent="0.25">
      <c r="A9" s="4" t="s">
        <v>10</v>
      </c>
      <c r="B9" s="8">
        <v>5000</v>
      </c>
    </row>
    <row r="10" spans="1:6" x14ac:dyDescent="0.25">
      <c r="A10" s="4" t="s">
        <v>79</v>
      </c>
      <c r="B10" s="8">
        <v>436</v>
      </c>
    </row>
    <row r="11" spans="1:6" x14ac:dyDescent="0.25">
      <c r="A11" s="4" t="s">
        <v>55</v>
      </c>
      <c r="B11" s="8">
        <v>1580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72</v>
      </c>
      <c r="E18" s="2" t="s">
        <v>73</v>
      </c>
      <c r="F18" s="2" t="s">
        <v>27</v>
      </c>
      <c r="G18" s="2" t="s">
        <v>26</v>
      </c>
      <c r="H18" s="2" t="s">
        <v>74</v>
      </c>
      <c r="I18" s="2" t="s">
        <v>28</v>
      </c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40</v>
      </c>
      <c r="E19" s="5">
        <v>16</v>
      </c>
      <c r="F19" s="5">
        <f>C19*34</f>
        <v>34</v>
      </c>
      <c r="G19" s="5">
        <v>1</v>
      </c>
      <c r="H19" s="5">
        <v>6</v>
      </c>
      <c r="I19" s="5">
        <f>G19*7</f>
        <v>7</v>
      </c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1.5</v>
      </c>
      <c r="E20" s="29">
        <v>4.51</v>
      </c>
      <c r="F20" s="29">
        <v>0.28000000000000003</v>
      </c>
      <c r="G20" s="29">
        <v>0.3</v>
      </c>
      <c r="H20" s="29">
        <v>4.51</v>
      </c>
      <c r="I20" s="29">
        <v>0.28000000000000003</v>
      </c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390.55</v>
      </c>
      <c r="E21" s="27">
        <v>130.18</v>
      </c>
      <c r="F21" s="27">
        <v>2220</v>
      </c>
      <c r="G21" s="27">
        <v>1950</v>
      </c>
      <c r="H21" s="27">
        <v>130.18</v>
      </c>
      <c r="I21" s="27">
        <v>2220</v>
      </c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v>0</v>
      </c>
      <c r="D22" s="9">
        <f>40*B4</f>
        <v>2460</v>
      </c>
      <c r="E22" s="9">
        <f>50*B5+250*B6</f>
        <v>9035</v>
      </c>
      <c r="F22" s="9">
        <f>20*B7+8*B8+10*B5</f>
        <v>6958</v>
      </c>
      <c r="G22" s="9">
        <f>2*B9+10*B10+4*B11</f>
        <v>20680</v>
      </c>
      <c r="H22" s="9">
        <f>50*B5+250*B6</f>
        <v>9035</v>
      </c>
      <c r="I22" s="9">
        <f>20*B7+8*B8+10*B5</f>
        <v>6958</v>
      </c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603128</v>
      </c>
    </row>
    <row r="24" spans="1:13" ht="14.25" customHeight="1" x14ac:dyDescent="0.25">
      <c r="A24" s="13" t="s">
        <v>42</v>
      </c>
      <c r="B24" s="18">
        <f>SUMPRODUCT(B21:L21,B19:L19)</f>
        <v>115445.96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26.666666666666664</v>
      </c>
      <c r="E27" s="20">
        <f t="shared" si="0"/>
        <v>3.5476718403547673</v>
      </c>
      <c r="F27" s="20">
        <f t="shared" si="0"/>
        <v>121.42857142857142</v>
      </c>
      <c r="G27" s="20">
        <f t="shared" si="0"/>
        <v>3.3333333333333335</v>
      </c>
      <c r="H27" s="20">
        <f t="shared" si="0"/>
        <v>1.3303769401330379</v>
      </c>
      <c r="I27" s="20">
        <f t="shared" si="0"/>
        <v>25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2.5500842771755017E-2</v>
      </c>
      <c r="C28" s="37">
        <f t="shared" ref="C28:L28" si="1">C27/$B$30</f>
        <v>3.5701179880457024E-3</v>
      </c>
      <c r="D28" s="37">
        <f t="shared" si="1"/>
        <v>0.14280471952182808</v>
      </c>
      <c r="E28" s="37">
        <f t="shared" si="1"/>
        <v>1.8998410579400635E-2</v>
      </c>
      <c r="F28" s="37">
        <f t="shared" si="1"/>
        <v>0.65027149067975287</v>
      </c>
      <c r="G28" s="37">
        <f t="shared" si="1"/>
        <v>1.7850589940228513E-2</v>
      </c>
      <c r="H28" s="37">
        <f t="shared" si="1"/>
        <v>7.1244039672752387E-3</v>
      </c>
      <c r="I28" s="37">
        <f t="shared" si="1"/>
        <v>0.13387942455171384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3.401271625168981</v>
      </c>
      <c r="C29" s="43">
        <f t="shared" ref="C29:L29" si="2">C28*$B$47</f>
        <v>0.47617802752365734</v>
      </c>
      <c r="D29" s="43">
        <f t="shared" si="2"/>
        <v>19.047121100946292</v>
      </c>
      <c r="E29" s="43">
        <f t="shared" si="2"/>
        <v>2.5339850688620347</v>
      </c>
      <c r="F29" s="43">
        <f t="shared" si="2"/>
        <v>86.732426441809011</v>
      </c>
      <c r="G29" s="43">
        <f t="shared" si="2"/>
        <v>2.3808901376182869</v>
      </c>
      <c r="H29" s="43">
        <f t="shared" si="2"/>
        <v>0.95024440082326311</v>
      </c>
      <c r="I29" s="43">
        <f t="shared" si="2"/>
        <v>17.856676032137148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186.73519163763066</v>
      </c>
    </row>
    <row r="31" spans="1:13" x14ac:dyDescent="0.25">
      <c r="A31" s="19" t="s">
        <v>43</v>
      </c>
      <c r="B31" s="54">
        <f>B28</f>
        <v>2.5500842771755017E-2</v>
      </c>
    </row>
    <row r="32" spans="1:13" x14ac:dyDescent="0.25">
      <c r="A32" s="21" t="s">
        <v>87</v>
      </c>
      <c r="B32" s="62">
        <f>B31*B20</f>
        <v>5.3551769820685529E-3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78038.554425508482</v>
      </c>
    </row>
    <row r="41" spans="1:5" x14ac:dyDescent="0.25">
      <c r="A41" s="22" t="s">
        <v>69</v>
      </c>
      <c r="B41" s="58">
        <f>B35*B31*B20*24</f>
        <v>9.6393185677233966</v>
      </c>
    </row>
    <row r="42" spans="1:5" x14ac:dyDescent="0.25">
      <c r="A42" s="22" t="s">
        <v>46</v>
      </c>
      <c r="B42" s="57">
        <f>B23+B24*(1+B35/170*(1-B38))/(1+B37)</f>
        <v>741961.44557449152</v>
      </c>
    </row>
    <row r="43" spans="1:5" x14ac:dyDescent="0.25">
      <c r="A43" s="21" t="s">
        <v>53</v>
      </c>
      <c r="B43" s="59">
        <f>B42-B23-B24</f>
        <v>23387.485574491511</v>
      </c>
    </row>
    <row r="44" spans="1:5" x14ac:dyDescent="0.25">
      <c r="A44" s="21" t="s">
        <v>24</v>
      </c>
      <c r="B44" s="60">
        <f>Profit(B35,B36,B23,B24,B32,B37,B38,B39)*24</f>
        <v>815909.63412887987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133.37879283488869</v>
      </c>
    </row>
    <row r="48" spans="1:5" x14ac:dyDescent="0.25">
      <c r="A48" s="21" t="s">
        <v>89</v>
      </c>
      <c r="B48" s="60">
        <f>Profit(B47,B36,B23,B24,B32,B37,B38,0)*24</f>
        <v>1009257.0916068738</v>
      </c>
    </row>
    <row r="49" spans="1:2" x14ac:dyDescent="0.25">
      <c r="A49" s="19" t="s">
        <v>90</v>
      </c>
      <c r="B49" s="61">
        <f>OBL(B36,B23,B24,B32,B37,B38,1)</f>
        <v>141.54831933810885</v>
      </c>
    </row>
    <row r="50" spans="1:2" x14ac:dyDescent="0.25">
      <c r="A50" s="21" t="s">
        <v>91</v>
      </c>
      <c r="B50" s="60">
        <f>Profit(B49,B36,B23,B24,B32,B37,B38,1)*24</f>
        <v>1102578.2303935345</v>
      </c>
    </row>
    <row r="52" spans="1:2" x14ac:dyDescent="0.25">
      <c r="A52" t="s">
        <v>76</v>
      </c>
    </row>
    <row r="53" spans="1:2" x14ac:dyDescent="0.25">
      <c r="A53" t="s">
        <v>77</v>
      </c>
    </row>
    <row r="54" spans="1:2" x14ac:dyDescent="0.25">
      <c r="A54" t="s">
        <v>81</v>
      </c>
    </row>
  </sheetData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M50"/>
  <sheetViews>
    <sheetView topLeftCell="A16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54</v>
      </c>
      <c r="B4" s="26">
        <v>4740</v>
      </c>
      <c r="E4" s="33" t="s">
        <v>52</v>
      </c>
      <c r="F4" s="33"/>
    </row>
    <row r="5" spans="1:6" x14ac:dyDescent="0.25">
      <c r="A5" s="4" t="s">
        <v>55</v>
      </c>
      <c r="B5" s="8">
        <v>1520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14.2</v>
      </c>
    </row>
    <row r="8" spans="1:6" x14ac:dyDescent="0.25">
      <c r="A8" s="4" t="s">
        <v>59</v>
      </c>
      <c r="B8" s="8">
        <v>6200</v>
      </c>
    </row>
    <row r="9" spans="1:6" x14ac:dyDescent="0.25">
      <c r="A9" s="4" t="s">
        <v>60</v>
      </c>
      <c r="B9" s="8">
        <v>82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56</v>
      </c>
      <c r="C18" s="2" t="s">
        <v>61</v>
      </c>
      <c r="D18" s="2" t="s">
        <v>62</v>
      </c>
      <c r="E18" s="2" t="s">
        <v>63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8*B19</f>
        <v>8</v>
      </c>
      <c r="D19" s="5">
        <f>1*B19</f>
        <v>1</v>
      </c>
      <c r="E19" s="5">
        <f>D19*8</f>
        <v>8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0.11</v>
      </c>
      <c r="C20" s="29">
        <v>1.84</v>
      </c>
      <c r="D20" s="29">
        <v>0.56000000000000005</v>
      </c>
      <c r="E20" s="29">
        <v>1.84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6402.57</v>
      </c>
      <c r="C21" s="27">
        <v>206.61</v>
      </c>
      <c r="D21" s="27">
        <v>1109.5899999999999</v>
      </c>
      <c r="E21" s="27">
        <v>206.61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4*B4+2*B5</f>
        <v>22000</v>
      </c>
      <c r="C22" s="9">
        <f>4*B6+3*B7+0.0625*B8</f>
        <v>459.7</v>
      </c>
      <c r="D22" s="9">
        <f>30*B9+15*B7</f>
        <v>2673</v>
      </c>
      <c r="E22" s="9">
        <f>4*B6+3*B7+0.0625*B8</f>
        <v>459.7</v>
      </c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32028.199999999997</v>
      </c>
    </row>
    <row r="24" spans="1:13" ht="14.25" customHeight="1" x14ac:dyDescent="0.25">
      <c r="A24" s="13" t="s">
        <v>42</v>
      </c>
      <c r="B24" s="18">
        <f>SUMPRODUCT(B21:L21,B19:L19)</f>
        <v>10817.919999999998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9.0909090909090917</v>
      </c>
      <c r="C27" s="20">
        <f>IF(C19&gt;0,1/C20*C19,)</f>
        <v>4.3478260869565215</v>
      </c>
      <c r="D27" s="20">
        <f t="shared" ref="D27:L27" si="0">IF(D19&gt;0,1/D20*D19,)</f>
        <v>1.7857142857142856</v>
      </c>
      <c r="E27" s="20">
        <f t="shared" si="0"/>
        <v>4.3478260869565215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0.46447890371438882</v>
      </c>
      <c r="C28" s="37">
        <f t="shared" ref="C28:L28" si="1">C27/$B$30</f>
        <v>0.22214208438514246</v>
      </c>
      <c r="D28" s="37">
        <f t="shared" si="1"/>
        <v>9.123692751532636E-2</v>
      </c>
      <c r="E28" s="37">
        <f t="shared" si="1"/>
        <v>0.22214208438514246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65.874108961438921</v>
      </c>
      <c r="C29" s="43">
        <f t="shared" ref="C29:L29" si="2">C28*$B$47</f>
        <v>31.505008633731659</v>
      </c>
      <c r="D29" s="43">
        <f t="shared" si="2"/>
        <v>12.939557117425501</v>
      </c>
      <c r="E29" s="43">
        <f t="shared" si="2"/>
        <v>31.505008633731659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19.572275550536418</v>
      </c>
    </row>
    <row r="31" spans="1:13" x14ac:dyDescent="0.25">
      <c r="A31" s="19" t="s">
        <v>43</v>
      </c>
      <c r="B31" s="54">
        <f>B28</f>
        <v>0.46447890371438882</v>
      </c>
    </row>
    <row r="32" spans="1:13" x14ac:dyDescent="0.25">
      <c r="A32" s="21" t="s">
        <v>87</v>
      </c>
      <c r="B32" s="62">
        <f>B31*B20</f>
        <v>5.1092679408582774E-2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53000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7962.3442550852196</v>
      </c>
    </row>
    <row r="41" spans="1:5" x14ac:dyDescent="0.25">
      <c r="A41" s="22" t="s">
        <v>69</v>
      </c>
      <c r="B41" s="58">
        <f>B35*B31*B20*24</f>
        <v>91.966822935448988</v>
      </c>
    </row>
    <row r="42" spans="1:5" x14ac:dyDescent="0.25">
      <c r="A42" s="22" t="s">
        <v>46</v>
      </c>
      <c r="B42" s="57">
        <f>B23+B24*(1+B35/170*(1-B38))/(1+B37)</f>
        <v>45037.65574491478</v>
      </c>
    </row>
    <row r="43" spans="1:5" x14ac:dyDescent="0.25">
      <c r="A43" s="21" t="s">
        <v>53</v>
      </c>
      <c r="B43" s="59">
        <f>B42-B23-B24</f>
        <v>2191.535744914785</v>
      </c>
    </row>
    <row r="44" spans="1:5" ht="16.5" customHeight="1" x14ac:dyDescent="0.25">
      <c r="A44" s="21" t="s">
        <v>24</v>
      </c>
      <c r="B44" s="60">
        <f>Profit(B35,B36,B23,B24,B32,B37,B38,B39)*24</f>
        <v>793692.52902377292</v>
      </c>
    </row>
    <row r="47" spans="1:5" x14ac:dyDescent="0.25">
      <c r="A47" s="19" t="s">
        <v>88</v>
      </c>
      <c r="B47" s="61">
        <f>OBL(B36,B23,B24,B32,B37,B38,0)</f>
        <v>141.82368334632773</v>
      </c>
    </row>
    <row r="48" spans="1:5" x14ac:dyDescent="0.25">
      <c r="A48" s="21" t="s">
        <v>89</v>
      </c>
      <c r="B48" s="60">
        <f>Profit(B47,B36,B23,B24,B32,B37,B38,0)*24</f>
        <v>1020177.2670894902</v>
      </c>
    </row>
    <row r="49" spans="1:2" x14ac:dyDescent="0.25">
      <c r="A49" s="19" t="s">
        <v>90</v>
      </c>
      <c r="B49" s="61">
        <f>OBL(B36,B23,B24,B32,B37,B38,1)</f>
        <v>150.25439203031405</v>
      </c>
    </row>
    <row r="50" spans="1:2" x14ac:dyDescent="0.25">
      <c r="A50" s="21" t="s">
        <v>91</v>
      </c>
      <c r="B50" s="60">
        <f>Profit(B49,B36,B23,B24,B32,B37,B38,1)*24</f>
        <v>1110719.0138894522</v>
      </c>
    </row>
  </sheetData>
  <sheetProtection selectLockedCell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M50"/>
  <sheetViews>
    <sheetView topLeftCell="A13" zoomScale="90" zoomScaleNormal="90" workbookViewId="0">
      <selection activeCell="A23" sqref="A23:B5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66</v>
      </c>
      <c r="B5" s="8">
        <v>18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14.4</v>
      </c>
    </row>
    <row r="8" spans="1:6" x14ac:dyDescent="0.25">
      <c r="A8" s="4" t="s">
        <v>59</v>
      </c>
      <c r="B8" s="8">
        <v>6100</v>
      </c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65</v>
      </c>
      <c r="C18" s="2" t="s">
        <v>13</v>
      </c>
      <c r="D18" s="2"/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/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0.28000000000000003</v>
      </c>
      <c r="C20" s="29">
        <v>1.84</v>
      </c>
      <c r="D20" s="29"/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2219.19</v>
      </c>
      <c r="C21" s="27">
        <v>206.61</v>
      </c>
      <c r="D21" s="27"/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9">
        <f>20*B4+10*B5</f>
        <v>398</v>
      </c>
      <c r="C22" s="9">
        <f>4*B6+3*B7+0.0625*B8</f>
        <v>454.05</v>
      </c>
      <c r="D22" s="9"/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4030.4</v>
      </c>
    </row>
    <row r="24" spans="1:13" ht="14.25" customHeight="1" x14ac:dyDescent="0.25">
      <c r="A24" s="13" t="s">
        <v>42</v>
      </c>
      <c r="B24" s="18">
        <f>SUMPRODUCT(B21:L21,B19:L19)</f>
        <v>3872.07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3.5714285714285712</v>
      </c>
      <c r="C27" s="20">
        <f>IF(C19&gt;0,1/C20*C19,)</f>
        <v>4.3478260869565215</v>
      </c>
      <c r="D27" s="20">
        <f t="shared" ref="D27:L27" si="0">IF(D19&gt;0,1/D20*D19,)</f>
        <v>0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0.45098039215686275</v>
      </c>
      <c r="C28" s="37">
        <f t="shared" ref="C28:L28" si="1">C27/$B$30</f>
        <v>0.5490196078431373</v>
      </c>
      <c r="D28" s="37">
        <f t="shared" si="1"/>
        <v>0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63.35604960703963</v>
      </c>
      <c r="C29" s="43">
        <f t="shared" ref="C29:L29" si="2">C28*$B$47</f>
        <v>77.129103869439561</v>
      </c>
      <c r="D29" s="43">
        <f t="shared" si="2"/>
        <v>0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7.9192546583850927</v>
      </c>
    </row>
    <row r="31" spans="1:13" x14ac:dyDescent="0.25">
      <c r="A31" s="19" t="s">
        <v>43</v>
      </c>
      <c r="B31" s="54">
        <f>B28</f>
        <v>0.45098039215686275</v>
      </c>
    </row>
    <row r="32" spans="1:13" x14ac:dyDescent="0.25">
      <c r="A32" s="21" t="s">
        <v>87</v>
      </c>
      <c r="B32" s="62">
        <f>B31*B20</f>
        <v>0.12627450980392158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2813.1112012094563</v>
      </c>
    </row>
    <row r="41" spans="1:5" x14ac:dyDescent="0.25">
      <c r="A41" s="22" t="s">
        <v>69</v>
      </c>
      <c r="B41" s="58">
        <f>B35*B31*B20*24</f>
        <v>227.29411764705884</v>
      </c>
    </row>
    <row r="42" spans="1:5" x14ac:dyDescent="0.25">
      <c r="A42" s="22" t="s">
        <v>46</v>
      </c>
      <c r="B42" s="57">
        <f>B23+B24*(1+B35/170*(1-B38))/(1+B37)</f>
        <v>8686.8887987905437</v>
      </c>
    </row>
    <row r="43" spans="1:5" x14ac:dyDescent="0.25">
      <c r="A43" s="21" t="s">
        <v>53</v>
      </c>
      <c r="B43" s="59">
        <f>B42-B23-B24</f>
        <v>784.41879879054386</v>
      </c>
    </row>
    <row r="44" spans="1:5" ht="16.5" customHeight="1" x14ac:dyDescent="0.25">
      <c r="A44" s="21" t="s">
        <v>24</v>
      </c>
      <c r="B44" s="60">
        <f>Profit(B35,B36,B23,B24,B32,B37,B38,B39)*24</f>
        <v>693107.25982252485</v>
      </c>
    </row>
    <row r="47" spans="1:5" x14ac:dyDescent="0.25">
      <c r="A47" s="19" t="s">
        <v>88</v>
      </c>
      <c r="B47" s="61">
        <f>OBL(B36,B23,B24,B32,B37,B38,0)</f>
        <v>140.48515347647918</v>
      </c>
    </row>
    <row r="48" spans="1:5" x14ac:dyDescent="0.25">
      <c r="A48" s="21" t="s">
        <v>89</v>
      </c>
      <c r="B48" s="60">
        <f>Profit(B47,B36,B23,B24,B32,B37,B38,0)*24</f>
        <v>885513.99376032967</v>
      </c>
    </row>
    <row r="49" spans="1:2" x14ac:dyDescent="0.25">
      <c r="A49" s="19" t="s">
        <v>90</v>
      </c>
      <c r="B49" s="61">
        <f>OBL(B36,B23,B24,B32,B37,B38,1)</f>
        <v>148.87446432943929</v>
      </c>
    </row>
    <row r="50" spans="1:2" x14ac:dyDescent="0.25">
      <c r="A50" s="21" t="s">
        <v>91</v>
      </c>
      <c r="B50" s="60">
        <f>Profit(B49,B36,B23,B24,B32,B37,B38,1)*24</f>
        <v>964598.81965143094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F50"/>
  <sheetViews>
    <sheetView topLeftCell="A10" zoomScale="90" zoomScaleNormal="90" workbookViewId="0">
      <selection activeCell="I26" sqref="I26"/>
    </sheetView>
  </sheetViews>
  <sheetFormatPr baseColWidth="10" defaultRowHeight="15" x14ac:dyDescent="0.25"/>
  <cols>
    <col min="1" max="1" width="51.710937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13</v>
      </c>
      <c r="B5" s="8">
        <v>890</v>
      </c>
      <c r="E5" s="34" t="s">
        <v>49</v>
      </c>
      <c r="F5" s="34"/>
    </row>
    <row r="6" spans="1:6" x14ac:dyDescent="0.25">
      <c r="A6" s="4" t="s">
        <v>66</v>
      </c>
      <c r="B6" s="8">
        <v>18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65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0.28000000000000003</v>
      </c>
    </row>
    <row r="21" spans="1:2" x14ac:dyDescent="0.25">
      <c r="A21" s="12" t="s">
        <v>4</v>
      </c>
      <c r="B21" s="48">
        <v>2219.19</v>
      </c>
    </row>
    <row r="22" spans="1:2" x14ac:dyDescent="0.25">
      <c r="A22" s="12" t="s">
        <v>5</v>
      </c>
      <c r="B22" s="49">
        <f>20*B4+8*B5+10*B6</f>
        <v>7518</v>
      </c>
    </row>
    <row r="23" spans="1:2" ht="14.25" customHeight="1" x14ac:dyDescent="0.25">
      <c r="A23" s="11" t="s">
        <v>39</v>
      </c>
      <c r="B23" s="17">
        <f>SUMPRODUCT(B22:L22,B19:L19)</f>
        <v>7518</v>
      </c>
    </row>
    <row r="24" spans="1:2" ht="14.25" customHeight="1" x14ac:dyDescent="0.25">
      <c r="A24" s="13" t="s">
        <v>42</v>
      </c>
      <c r="B24" s="18">
        <f>SUMPRODUCT(B21:L21,B19:L19)</f>
        <v>2219.19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3">
        <f>B19/B20</f>
        <v>3.5714285714285712</v>
      </c>
    </row>
    <row r="28" spans="1:2" x14ac:dyDescent="0.25">
      <c r="A28" s="22" t="s">
        <v>23</v>
      </c>
      <c r="B28" s="64">
        <f>B27/$B$30</f>
        <v>1</v>
      </c>
    </row>
    <row r="29" spans="1:2" x14ac:dyDescent="0.25">
      <c r="A29" s="39" t="s">
        <v>92</v>
      </c>
      <c r="B29" s="52">
        <f>B28*$B$47</f>
        <v>121.53782135972673</v>
      </c>
    </row>
    <row r="30" spans="1:2" x14ac:dyDescent="0.25">
      <c r="A30" s="12" t="s">
        <v>21</v>
      </c>
      <c r="B30" s="65">
        <f>SUM(B27:L27)</f>
        <v>3.5714285714285712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62">
        <f>B31*B20</f>
        <v>0.28000000000000003</v>
      </c>
    </row>
    <row r="33" spans="1:5" x14ac:dyDescent="0.25">
      <c r="E33" s="51"/>
    </row>
    <row r="35" spans="1:5" x14ac:dyDescent="0.25">
      <c r="A35" s="19" t="s">
        <v>17</v>
      </c>
      <c r="B35" s="45">
        <v>75</v>
      </c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1313.2379741616278</v>
      </c>
    </row>
    <row r="41" spans="1:5" x14ac:dyDescent="0.25">
      <c r="A41" s="22" t="s">
        <v>69</v>
      </c>
      <c r="B41" s="58">
        <f>B35*B31*B20*24</f>
        <v>504.00000000000011</v>
      </c>
    </row>
    <row r="42" spans="1:5" x14ac:dyDescent="0.25">
      <c r="A42" s="22" t="s">
        <v>46</v>
      </c>
      <c r="B42" s="57">
        <f>B23+B24*(1+B35/170*(1-B38))/(1+B37)</f>
        <v>10186.762025838372</v>
      </c>
    </row>
    <row r="43" spans="1:5" x14ac:dyDescent="0.25">
      <c r="A43" s="21" t="s">
        <v>53</v>
      </c>
      <c r="B43" s="59">
        <f>B42-B23-B24</f>
        <v>449.57202583837216</v>
      </c>
    </row>
    <row r="44" spans="1:5" ht="16.5" customHeight="1" x14ac:dyDescent="0.25">
      <c r="A44" s="21" t="s">
        <v>24</v>
      </c>
      <c r="B44" s="60">
        <f>Profit(B35,B36,B23,B24,B32,B37,B38,B39)*24</f>
        <v>718777.11148007587</v>
      </c>
    </row>
    <row r="47" spans="1:5" x14ac:dyDescent="0.25">
      <c r="A47" s="19" t="s">
        <v>88</v>
      </c>
      <c r="B47" s="61">
        <f>OBL(B36,B23,B24,B32,B37,B38,0)</f>
        <v>121.53782135972673</v>
      </c>
    </row>
    <row r="48" spans="1:5" x14ac:dyDescent="0.25">
      <c r="A48" s="21" t="s">
        <v>89</v>
      </c>
      <c r="B48" s="60">
        <f>Profit(B47,B36,B23,B24,B32,B37,B38,0)*24</f>
        <v>842269.52867705398</v>
      </c>
    </row>
    <row r="49" spans="1:2" x14ac:dyDescent="0.25">
      <c r="A49" s="19" t="s">
        <v>90</v>
      </c>
      <c r="B49" s="61">
        <f>OBL(B36,B23,B24,B32,B37,B38,1)</f>
        <v>129.34113225031305</v>
      </c>
    </row>
    <row r="50" spans="1:2" x14ac:dyDescent="0.25">
      <c r="A50" s="21" t="s">
        <v>91</v>
      </c>
      <c r="B50" s="60">
        <f>Profit(B49,B36,B23,B24,B32,B37,B38,1)*24</f>
        <v>925280.15176527784</v>
      </c>
    </row>
  </sheetData>
  <sheetProtection selectLockedCell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F50"/>
  <sheetViews>
    <sheetView topLeftCell="A10" zoomScale="85" zoomScaleNormal="85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57</v>
      </c>
      <c r="B4" s="26">
        <v>7.4</v>
      </c>
      <c r="E4" s="33" t="s">
        <v>52</v>
      </c>
      <c r="F4" s="33"/>
    </row>
    <row r="5" spans="1:6" x14ac:dyDescent="0.25">
      <c r="A5" s="4" t="s">
        <v>58</v>
      </c>
      <c r="B5" s="8">
        <v>14.4</v>
      </c>
      <c r="E5" s="34" t="s">
        <v>49</v>
      </c>
      <c r="F5" s="34"/>
    </row>
    <row r="6" spans="1:6" x14ac:dyDescent="0.25">
      <c r="A6" s="4" t="s">
        <v>59</v>
      </c>
      <c r="B6" s="8">
        <v>6100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64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1.84</v>
      </c>
    </row>
    <row r="21" spans="1:2" x14ac:dyDescent="0.25">
      <c r="A21" s="12" t="s">
        <v>4</v>
      </c>
      <c r="B21" s="48">
        <v>206.61</v>
      </c>
    </row>
    <row r="22" spans="1:2" x14ac:dyDescent="0.25">
      <c r="A22" s="12" t="s">
        <v>5</v>
      </c>
      <c r="B22" s="49">
        <f>4*B4+3*B5+0.0625*B6</f>
        <v>454.05</v>
      </c>
    </row>
    <row r="23" spans="1:2" ht="14.25" customHeight="1" x14ac:dyDescent="0.25">
      <c r="A23" s="11" t="s">
        <v>39</v>
      </c>
      <c r="B23" s="17">
        <f>SUMPRODUCT(B22:L22,B19:L19)</f>
        <v>454.05</v>
      </c>
    </row>
    <row r="24" spans="1:2" ht="14.25" customHeight="1" x14ac:dyDescent="0.25">
      <c r="A24" s="13" t="s">
        <v>42</v>
      </c>
      <c r="B24" s="18">
        <f>SUMPRODUCT(B21:L21,B19:L19)</f>
        <v>206.61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3">
        <f>B19/B20</f>
        <v>0.54347826086956519</v>
      </c>
    </row>
    <row r="28" spans="1:2" x14ac:dyDescent="0.25">
      <c r="A28" s="22" t="s">
        <v>23</v>
      </c>
      <c r="B28" s="64">
        <f>B27/$B$30</f>
        <v>1</v>
      </c>
    </row>
    <row r="29" spans="1:2" x14ac:dyDescent="0.25">
      <c r="A29" s="39" t="s">
        <v>92</v>
      </c>
      <c r="B29" s="52">
        <f>B28*$B$47</f>
        <v>152.31287102695129</v>
      </c>
    </row>
    <row r="30" spans="1:2" x14ac:dyDescent="0.25">
      <c r="A30" s="12" t="s">
        <v>21</v>
      </c>
      <c r="B30" s="65">
        <f>SUM(B27:L27)</f>
        <v>0.54347826086956519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62">
        <f>B31*B20</f>
        <v>1.84</v>
      </c>
    </row>
    <row r="35" spans="1:2" x14ac:dyDescent="0.25">
      <c r="A35" s="19" t="s">
        <v>17</v>
      </c>
      <c r="B35" s="45">
        <v>75</v>
      </c>
    </row>
    <row r="36" spans="1:2" x14ac:dyDescent="0.25">
      <c r="A36" s="22" t="s">
        <v>85</v>
      </c>
      <c r="B36" s="49">
        <v>870</v>
      </c>
    </row>
    <row r="37" spans="1:2" x14ac:dyDescent="0.25">
      <c r="A37" s="22" t="s">
        <v>40</v>
      </c>
      <c r="B37" s="55">
        <v>7.0000000000000007E-2</v>
      </c>
    </row>
    <row r="38" spans="1:2" x14ac:dyDescent="0.25">
      <c r="A38" s="22" t="s">
        <v>41</v>
      </c>
      <c r="B38" s="55">
        <v>0.35</v>
      </c>
    </row>
    <row r="39" spans="1:2" x14ac:dyDescent="0.25">
      <c r="A39" s="21" t="s">
        <v>86</v>
      </c>
      <c r="B39" s="56">
        <v>0</v>
      </c>
    </row>
    <row r="40" spans="1:2" x14ac:dyDescent="0.25">
      <c r="A40" s="22" t="s">
        <v>47</v>
      </c>
      <c r="B40" s="57">
        <f>B36-B42</f>
        <v>167.48415338097857</v>
      </c>
    </row>
    <row r="41" spans="1:2" x14ac:dyDescent="0.25">
      <c r="A41" s="22" t="s">
        <v>69</v>
      </c>
      <c r="B41" s="58">
        <f>B35*B31*B20*24</f>
        <v>3312</v>
      </c>
    </row>
    <row r="42" spans="1:2" x14ac:dyDescent="0.25">
      <c r="A42" s="22" t="s">
        <v>46</v>
      </c>
      <c r="B42" s="57">
        <f>B23+B24*(1+B35/170*(1-B38))/(1+B37)</f>
        <v>702.51584661902143</v>
      </c>
    </row>
    <row r="43" spans="1:2" x14ac:dyDescent="0.25">
      <c r="A43" s="21" t="s">
        <v>53</v>
      </c>
      <c r="B43" s="59">
        <f>B42-B23-B24</f>
        <v>41.855846619021406</v>
      </c>
    </row>
    <row r="44" spans="1:2" x14ac:dyDescent="0.25">
      <c r="A44" s="21" t="s">
        <v>24</v>
      </c>
      <c r="B44" s="60">
        <f>Profit(B35,B36,B23,B24,B32,B37,B38,B39)*24</f>
        <v>600795.50379506638</v>
      </c>
    </row>
    <row r="45" spans="1:2" ht="16.5" customHeight="1" x14ac:dyDescent="0.25"/>
    <row r="47" spans="1:2" x14ac:dyDescent="0.25">
      <c r="A47" s="19" t="s">
        <v>88</v>
      </c>
      <c r="B47" s="61">
        <f>OBL(B36,B23,B24,B32,B37,B38,0)</f>
        <v>152.31287102695129</v>
      </c>
    </row>
    <row r="48" spans="1:2" x14ac:dyDescent="0.25">
      <c r="A48" s="21" t="s">
        <v>89</v>
      </c>
      <c r="B48" s="60">
        <f>Profit(B47,B36,B23,B24,B32,B37,B38,0)*24</f>
        <v>809315.85130675579</v>
      </c>
    </row>
    <row r="49" spans="1:2" x14ac:dyDescent="0.25">
      <c r="A49" s="19" t="s">
        <v>90</v>
      </c>
      <c r="B49" s="61">
        <f>OBL(B36,B23,B24,B32,B37,B38,1)</f>
        <v>161.06798757734867</v>
      </c>
    </row>
    <row r="50" spans="1:2" x14ac:dyDescent="0.25">
      <c r="A50" s="21" t="s">
        <v>91</v>
      </c>
      <c r="B50" s="60">
        <f>Profit(B49,B36,B23,B24,B32,B37,B38,1)*24</f>
        <v>877879.76158861793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SEP-Fus-Win-Coc-JE</vt:lpstr>
      <vt:lpstr>Jum-Fus-Win-Coc-JE</vt:lpstr>
      <vt:lpstr>Lux-Fus-Win-Coc-JE</vt:lpstr>
      <vt:lpstr>BFR-OB-ST</vt:lpstr>
      <vt:lpstr>BFR-OB-ST-RE</vt:lpstr>
      <vt:lpstr>BFRr-OB-ST-RE</vt:lpstr>
      <vt:lpstr>BFR-OB-ST-RE-Fus-Prp</vt:lpstr>
      <vt:lpstr>SAT-Ion-HGEC</vt:lpstr>
      <vt:lpstr>RE-HGEC</vt:lpstr>
      <vt:lpstr>RE</vt:lpstr>
      <vt:lpstr>HGEC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2021-08-03T01:58:43Z</dcterms:modified>
</cp:coreProperties>
</file>